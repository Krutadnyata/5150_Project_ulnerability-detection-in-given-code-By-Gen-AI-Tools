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18"/>
  <workbookPr/>
  <mc:AlternateContent xmlns:mc="http://schemas.openxmlformats.org/markup-compatibility/2006">
    <mc:Choice Requires="x15">
      <x15ac:absPath xmlns:x15ac="http://schemas.microsoft.com/office/spreadsheetml/2010/11/ac" url="https://ucf-my.sharepoint.com/personal/kr209876_ucf_edu/Documents/Microsoft Teams Chat Files/"/>
    </mc:Choice>
  </mc:AlternateContent>
  <xr:revisionPtr revIDLastSave="0" documentId="8_{BB9346B1-F68C-44FB-9E2F-5A253E89A1CF}" xr6:coauthVersionLast="47" xr6:coauthVersionMax="47" xr10:uidLastSave="{00000000-0000-0000-0000-000000000000}"/>
  <bookViews>
    <workbookView xWindow="-108" yWindow="-108" windowWidth="23256" windowHeight="12576" firstSheet="1" activeTab="1" xr2:uid="{8921E01A-EE0C-47BA-9083-68452288A7F2}"/>
  </bookViews>
  <sheets>
    <sheet name="ChatGPT" sheetId="1" r:id="rId1"/>
    <sheet name="Gemini" sheetId="5" r:id="rId2"/>
    <sheet name="Sheet2" sheetId="2" r:id="rId3"/>
    <sheet name="Sheet3" sheetId="3"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53" i="5" l="1"/>
  <c r="G151" i="5"/>
  <c r="G3" i="5"/>
  <c r="G4" i="5"/>
  <c r="G5" i="5"/>
  <c r="G6" i="5"/>
  <c r="G7" i="5"/>
  <c r="G9" i="5"/>
  <c r="G10" i="5"/>
  <c r="G11" i="5"/>
  <c r="G12" i="5"/>
  <c r="G14" i="5"/>
  <c r="G15" i="5"/>
  <c r="G16" i="5"/>
  <c r="G18" i="5"/>
  <c r="G19" i="5"/>
  <c r="G20" i="5"/>
  <c r="G21" i="5"/>
  <c r="G24" i="5"/>
  <c r="G25" i="5"/>
  <c r="G26" i="5"/>
  <c r="G27" i="5"/>
  <c r="G28" i="5"/>
  <c r="G29" i="5"/>
  <c r="G32" i="5"/>
  <c r="G33" i="5"/>
  <c r="G34" i="5"/>
  <c r="G35" i="5"/>
  <c r="G36" i="5"/>
  <c r="G37" i="5"/>
  <c r="G38" i="5"/>
  <c r="G41" i="5"/>
  <c r="G42" i="5"/>
  <c r="G43" i="5"/>
  <c r="G44" i="5"/>
  <c r="G45" i="5"/>
  <c r="G46" i="5"/>
  <c r="G47" i="5"/>
  <c r="G48" i="5"/>
  <c r="G49" i="5"/>
  <c r="G50" i="5"/>
  <c r="G53" i="5"/>
  <c r="G54" i="5"/>
  <c r="G55" i="5"/>
  <c r="G56" i="5"/>
  <c r="G57" i="5"/>
  <c r="G60" i="5"/>
  <c r="G61" i="5"/>
  <c r="G62" i="5"/>
  <c r="G63" i="5"/>
  <c r="G66" i="5"/>
  <c r="G67" i="5"/>
  <c r="G68" i="5"/>
  <c r="G69" i="5"/>
  <c r="G72" i="5"/>
  <c r="G73" i="5"/>
  <c r="G76" i="5"/>
  <c r="G77" i="5"/>
  <c r="G78" i="5"/>
  <c r="G79" i="5"/>
  <c r="G82" i="5"/>
  <c r="G83" i="5"/>
  <c r="G84" i="5"/>
  <c r="G87" i="5"/>
  <c r="G88" i="5"/>
  <c r="G89" i="5"/>
  <c r="G92" i="5"/>
  <c r="G93" i="5"/>
  <c r="G94" i="5"/>
  <c r="G97" i="5"/>
  <c r="G98" i="5"/>
  <c r="G99" i="5"/>
  <c r="G102" i="5"/>
  <c r="G103" i="5"/>
  <c r="G106" i="5"/>
  <c r="G107" i="5"/>
  <c r="G108" i="5"/>
  <c r="G111" i="5"/>
  <c r="G112" i="5"/>
  <c r="G113" i="5"/>
  <c r="G114" i="5"/>
  <c r="G117" i="5"/>
  <c r="G120" i="5"/>
  <c r="G121" i="5"/>
  <c r="G122" i="5"/>
  <c r="G123" i="5"/>
  <c r="G126" i="5"/>
  <c r="G127" i="5"/>
  <c r="G128" i="5"/>
  <c r="G129" i="5"/>
  <c r="G131" i="5"/>
  <c r="G132" i="5"/>
  <c r="G133" i="5"/>
  <c r="G136" i="5"/>
  <c r="G137" i="5"/>
  <c r="G138" i="5"/>
  <c r="G139" i="5"/>
  <c r="G141" i="5"/>
  <c r="G142" i="5"/>
  <c r="G143" i="5"/>
  <c r="G144" i="5"/>
  <c r="G148" i="5"/>
  <c r="G149" i="5"/>
  <c r="G150" i="5"/>
  <c r="G2" i="5"/>
</calcChain>
</file>

<file path=xl/sharedStrings.xml><?xml version="1.0" encoding="utf-8"?>
<sst xmlns="http://schemas.openxmlformats.org/spreadsheetml/2006/main" count="950" uniqueCount="611">
  <si>
    <t>Category</t>
  </si>
  <si>
    <t>CVE</t>
  </si>
  <si>
    <t>File</t>
  </si>
  <si>
    <t>Line Number</t>
  </si>
  <si>
    <t>Vulnerability</t>
  </si>
  <si>
    <t>TP/FP</t>
  </si>
  <si>
    <t>Categorization</t>
  </si>
  <si>
    <t>Additional Comment</t>
  </si>
  <si>
    <t>A01: Broken Access Control</t>
  </si>
  <si>
    <t>CVE-2019-20916</t>
  </si>
  <si>
    <t>download.py</t>
  </si>
  <si>
    <t>229-247, 979-983, 1224-1227</t>
  </si>
  <si>
    <t>Credentials and sensitive information exposed in logs or insecure storage.</t>
  </si>
  <si>
    <t>A02: Sensitive Data Exposure</t>
  </si>
  <si>
    <t>999-1001, 1118-1122</t>
  </si>
  <si>
    <t>Insecure defaults such as disabling HTTPS validation and improper handling of temp directories.</t>
  </si>
  <si>
    <t>A04: Insecure Design</t>
  </si>
  <si>
    <t>1075-1078, 50-55</t>
  </si>
  <si>
    <t>Silent exception handling and reliance on vendored dependencies.</t>
  </si>
  <si>
    <t>A05: Security Misconfiguration</t>
  </si>
  <si>
    <t>50-55</t>
  </si>
  <si>
    <t>Use of outdated or unverified third-party libraries.</t>
  </si>
  <si>
    <t>A06: Vulnerable Components</t>
  </si>
  <si>
    <t>496-504</t>
  </si>
  <si>
    <t>Insecure credential handling and lack of proper validation mechanisms.</t>
  </si>
  <si>
    <t>A07: Authentication Failures</t>
  </si>
  <si>
    <t>1118-1122, 1456-1458</t>
  </si>
  <si>
    <t>Missing file integrity checks and potential path traversal risks.</t>
  </si>
  <si>
    <t>A08: Data Integrity Failures</t>
  </si>
  <si>
    <t>979-983, 1224-1227</t>
  </si>
  <si>
    <t>Logs include sensitive data but lack intrusion detection capabilities.</t>
  </si>
  <si>
    <t>A09: Logging Failures</t>
  </si>
  <si>
    <t>1256-1262</t>
  </si>
  <si>
    <t>Unvalidated URLs can be exploited for server-side request forgery attacks.</t>
  </si>
  <si>
    <t>A10: SSRF</t>
  </si>
  <si>
    <t>CVE-2024-4315</t>
  </si>
  <si>
    <t xml:space="preserve">89 ,130 </t>
  </si>
  <si>
    <t>Path Traversal Vulnerability in sanitize_path and sanitize_path_from_endpoint</t>
  </si>
  <si>
    <t>A01:2021 - Broken Access Control</t>
  </si>
  <si>
    <r>
      <t xml:space="preserve">Shell Command Injection Risk in </t>
    </r>
    <r>
      <rPr>
        <sz val="10"/>
        <color theme="1"/>
        <rFont val="Arial Unicode MS"/>
      </rPr>
      <t>sanitize_shell_code</t>
    </r>
  </si>
  <si>
    <t>A03:2021 - Injection</t>
  </si>
  <si>
    <r>
      <t xml:space="preserve">Incomplete URL Validation in </t>
    </r>
    <r>
      <rPr>
        <sz val="10"/>
        <color theme="1"/>
        <rFont val="Arial Unicode MS"/>
      </rPr>
      <t>is_allowed_url</t>
    </r>
  </si>
  <si>
    <t>A05:2021 - Security Misconfiguration</t>
  </si>
  <si>
    <t>Potential Symbolic Link Attack in validate_path</t>
  </si>
  <si>
    <t>108, 148</t>
  </si>
  <si>
    <t>Sensitive Error Disclosure in sanitize_path and sanitize_path_from_endpoint</t>
  </si>
  <si>
    <t>Remote Access Check in forbid_remote_access</t>
  </si>
  <si>
    <t>CVE-2024-25108</t>
  </si>
  <si>
    <t>SQL Injection</t>
  </si>
  <si>
    <t>A01:2021 - Injection</t>
  </si>
  <si>
    <t>13–14</t>
  </si>
  <si>
    <t>Missing Input Validation</t>
  </si>
  <si>
    <t>18–22</t>
  </si>
  <si>
    <t>Cache Poisoning</t>
  </si>
  <si>
    <t>A08:2021 - Software and Data Integrity Failures</t>
  </si>
  <si>
    <t>9–10</t>
  </si>
  <si>
    <t>CSRF Risk</t>
  </si>
  <si>
    <t>Lack of Rate Limiting</t>
  </si>
  <si>
    <t>A04:2021 - Insecure Design</t>
  </si>
  <si>
    <t>17–18</t>
  </si>
  <si>
    <t>Access Control Issue for Private Data</t>
  </si>
  <si>
    <t>Improper Error Handling and Resource Enumeration</t>
  </si>
  <si>
    <t>Excessive Permissions</t>
  </si>
  <si>
    <t>Insecure Data Exposure in JSON</t>
  </si>
  <si>
    <t>A03:2021 - Sensitive Data Exposure</t>
  </si>
  <si>
    <t>30, 36</t>
  </si>
  <si>
    <t>Insecure Cursor Pagination (IDOR Risk)</t>
  </si>
  <si>
    <t>CVE-2024-37032</t>
  </si>
  <si>
    <t>32-35</t>
  </si>
  <si>
    <t>Path Traversal Vulnerability</t>
  </si>
  <si>
    <t>A06:2021 - Vulnerable and Outdated Components</t>
  </si>
  <si>
    <t>106-109</t>
  </si>
  <si>
    <t>Insecure Environment Variables</t>
  </si>
  <si>
    <t>28-31</t>
  </si>
  <si>
    <t>Use of Insecure Protocols (HTTP instead of HTTPS)</t>
  </si>
  <si>
    <t>A02:2021 - Cryptographic Failures , 
A06:2021 - Vulnerable Components</t>
  </si>
  <si>
    <t>147-150, 163-167</t>
  </si>
  <si>
    <t>Insufficient File Permissions</t>
  </si>
  <si>
    <t>159-161</t>
  </si>
  <si>
    <t>Lack of Input Validation on Digest Input</t>
  </si>
  <si>
    <t>A01:2021 - Broken Access Control , 
A03:2021 - Injection</t>
  </si>
  <si>
    <t>Potential Information Exposure in Error Messages</t>
  </si>
  <si>
    <t>A01:2021 - Broken Access Control ,
A03:2021 - Inject</t>
  </si>
  <si>
    <t>A02-Cryptographic Failures</t>
  </si>
  <si>
    <t>CVE-2018-12520</t>
  </si>
  <si>
    <t>HTTPserver.cpp</t>
  </si>
  <si>
    <r>
      <t xml:space="preserve">Insecure </t>
    </r>
    <r>
      <rPr>
        <sz val="10"/>
        <color theme="1"/>
        <rFont val="Arial Unicode MS"/>
      </rPr>
      <t>rand()</t>
    </r>
    <r>
      <rPr>
        <sz val="11"/>
        <color theme="1"/>
        <rFont val="Aptos Narrow"/>
        <family val="2"/>
        <scheme val="minor"/>
      </rPr>
      <t xml:space="preserve"> for session ID</t>
    </r>
  </si>
  <si>
    <t>TP</t>
  </si>
  <si>
    <t>A2: Cryptographic Failures</t>
  </si>
  <si>
    <t>194–195</t>
  </si>
  <si>
    <r>
      <t xml:space="preserve">Missing </t>
    </r>
    <r>
      <rPr>
        <sz val="10"/>
        <color theme="1"/>
        <rFont val="Arial Unicode MS"/>
      </rPr>
      <t>Secure; HttpOnly</t>
    </r>
    <r>
      <rPr>
        <sz val="11"/>
        <color theme="1"/>
        <rFont val="Aptos Narrow"/>
        <family val="2"/>
        <scheme val="minor"/>
      </rPr>
      <t xml:space="preserve"> cookie attributes</t>
    </r>
  </si>
  <si>
    <t>A2: Cryptographic Failures , 
A3: Injection</t>
  </si>
  <si>
    <t>HTTP to HTTPS downgrade</t>
  </si>
  <si>
    <t>A2: Cryptographic Failures , 
A7: Authentication Failures</t>
  </si>
  <si>
    <t>Hard-coded localhost IP</t>
  </si>
  <si>
    <t>A1: Broken Access Control</t>
  </si>
  <si>
    <t>Incomplete HTTP splitting prevention</t>
  </si>
  <si>
    <t>A3: Injection</t>
  </si>
  <si>
    <t>Basic authentication without HTTPS</t>
  </si>
  <si>
    <t>Insufficient URI validation</t>
  </si>
  <si>
    <t>A7: Identification and Authentication Failures</t>
  </si>
  <si>
    <t>592–621</t>
  </si>
  <si>
    <t>Lack of login rate limiting</t>
  </si>
  <si>
    <t>A4: Insecure Design , 
A10: SSRF</t>
  </si>
  <si>
    <t>Open redirect vulnerability</t>
  </si>
  <si>
    <t>Passwords stored in plaintext</t>
  </si>
  <si>
    <t>Insufficient input validation (path traversal)</t>
  </si>
  <si>
    <t>CVE-2022-23650</t>
  </si>
  <si>
    <t>Lines 12, 15-23</t>
  </si>
  <si>
    <t>Insecure JWT Secret Management</t>
  </si>
  <si>
    <t>A2:2021 - Cryptographic Failures</t>
  </si>
  <si>
    <t>Lines 37, 63</t>
  </si>
  <si>
    <t>Insecure JWT Signing Algorithm (HS256)</t>
  </si>
  <si>
    <t>Lines 78-79, 103-104</t>
  </si>
  <si>
    <t>Insecure Master Key Usage</t>
  </si>
  <si>
    <t>A5:2021 - Security Misconfiguration</t>
  </si>
  <si>
    <t>Lines 31, 57</t>
  </si>
  <si>
    <t>Missing Refresh Token Mechanism</t>
  </si>
  <si>
    <t>A7:2021 - Identification and Authentication Failures</t>
  </si>
  <si>
    <t>Line 92</t>
  </si>
  <si>
    <t>Improper Error Handling and Information Disclosure</t>
  </si>
  <si>
    <t>A9:2021 - Security Logging and Monitoring Failures</t>
  </si>
  <si>
    <t>Lines 84-87, 109-110</t>
  </si>
  <si>
    <t>Weak Error Handling during JWT Verification</t>
  </si>
  <si>
    <t>JWT-related functions</t>
  </si>
  <si>
    <t>Lack of Token Blacklisting Mechanism</t>
  </si>
  <si>
    <t>CVE-2024-31206</t>
  </si>
  <si>
    <t>index.ts</t>
  </si>
  <si>
    <t>Insecure HTTP Usage</t>
  </si>
  <si>
    <t>Unvalidated Input</t>
  </si>
  <si>
    <t>No Timeout or Retry Handling</t>
  </si>
  <si>
    <t>A9: Security Logging and Monitoring Failures</t>
  </si>
  <si>
    <t>26-27</t>
  </si>
  <si>
    <t>Leaks API Behavior via Errors</t>
  </si>
  <si>
    <t>A1: Broken Access Control, 
A5: Security Misconfiguration</t>
  </si>
  <si>
    <t>Unchecked Response Size</t>
  </si>
  <si>
    <t>A4: Insecure Design</t>
  </si>
  <si>
    <t>Potential Memory Exhaustion</t>
  </si>
  <si>
    <t>A6: Vulnerable And Outdated Components</t>
  </si>
  <si>
    <t>A03-Injection</t>
  </si>
  <si>
    <t>CVE-2021-41232</t>
  </si>
  <si>
    <t>auth.go</t>
  </si>
  <si>
    <t>17-20</t>
  </si>
  <si>
    <t>Silent error handling in cookie encoding</t>
  </si>
  <si>
    <t>A05:2021 – Security Misconfiguration</t>
  </si>
  <si>
    <t>Long cookie expiration (30 days)</t>
  </si>
  <si>
    <t>A02:2021 – Cryptographic Failures</t>
  </si>
  <si>
    <t>29, 31</t>
  </si>
  <si>
    <t>Logging sensitive user info</t>
  </si>
  <si>
    <t>A01:2021 – Broken Access Control</t>
  </si>
  <si>
    <t>Insecure TLS (InsecureSkipVerify: true)</t>
  </si>
  <si>
    <t>A03:2021 – Injections</t>
  </si>
  <si>
    <t>LDAP injection risk</t>
  </si>
  <si>
    <t>69-71</t>
  </si>
  <si>
    <t>User enumeration through error messages</t>
  </si>
  <si>
    <t xml:space="preserve">	A01:2021 – Broken Access Control</t>
  </si>
  <si>
    <t>No rate-limiting on password binding</t>
  </si>
  <si>
    <t>A04:2021 – Insecure Design</t>
  </si>
  <si>
    <t>Race condition in user creation logic</t>
  </si>
  <si>
    <t>21-22</t>
  </si>
  <si>
    <t>Missing secure headers</t>
  </si>
  <si>
    <t xml:space="preserve">	A05:2021 – Security Misconfiguration</t>
  </si>
  <si>
    <t>CVE-2022-36069</t>
  </si>
  <si>
    <t>git.py</t>
  </si>
  <si>
    <t>163-166</t>
  </si>
  <si>
    <t>Command Injection (Git Config)</t>
  </si>
  <si>
    <t>287-291</t>
  </si>
  <si>
    <t>Command Injection (Arbitrary Commands)</t>
  </si>
  <si>
    <t>Command Injection (Git Clone)</t>
  </si>
  <si>
    <t>32-123</t>
  </si>
  <si>
    <t>ReDoS via Complex Regex Patterns</t>
  </si>
  <si>
    <t>A06:2021 – Vulnerable and Outdated Components</t>
  </si>
  <si>
    <t>Information Disclosure in Error Message</t>
  </si>
  <si>
    <t>Configuration Leakage via Git Config</t>
  </si>
  <si>
    <t>243-257</t>
  </si>
  <si>
    <t>URL Normalization with Inadequate Checks</t>
  </si>
  <si>
    <t xml:space="preserve">	A01:2021 – Broken Access Control, 
A04:2021 – Insecure Design</t>
  </si>
  <si>
    <t>CVE-2021-25926</t>
  </si>
  <si>
    <t>61-65</t>
  </si>
  <si>
    <t>HTML output without escaping</t>
  </si>
  <si>
    <t>A03:2021 (Injection)</t>
  </si>
  <si>
    <t>93-94</t>
  </si>
  <si>
    <t>Insecure cookie handling</t>
  </si>
  <si>
    <t>A02:2021 (Cryptographic Failures)</t>
  </si>
  <si>
    <t>Open CORS policy</t>
  </si>
  <si>
    <t>A05:2021 (Security Misconfiguration)</t>
  </si>
  <si>
    <t>80-81</t>
  </si>
  <si>
    <t>Weak IP whitelisting</t>
  </si>
  <si>
    <t>A01:2021 (Broken Access Control)</t>
  </si>
  <si>
    <t>204, 219</t>
  </si>
  <si>
    <t>SSRF due to unvalidated URLs</t>
  </si>
  <si>
    <t>A10:2021 (SSRF)</t>
  </si>
  <si>
    <t>63-65</t>
  </si>
  <si>
    <t>Debug info exposed in production</t>
  </si>
  <si>
    <t>Race condition with threads</t>
  </si>
  <si>
    <t>Dynamic method invocation</t>
  </si>
  <si>
    <t>89-90</t>
  </si>
  <si>
    <t>DoS via token refresh</t>
  </si>
  <si>
    <t>A04:2021 (Insecure Design)</t>
  </si>
  <si>
    <t>191-192</t>
  </si>
  <si>
    <t>A04-Insecure Design</t>
  </si>
  <si>
    <t>CVE-2018-1999036</t>
  </si>
  <si>
    <t>Hardcoded credentials and plaintext secrets</t>
  </si>
  <si>
    <t>297, 332</t>
  </si>
  <si>
    <t>Command injection risk</t>
  </si>
  <si>
    <t>A03:2021 – Injections,
A10:2021 - Server-Side Request Forgery</t>
  </si>
  <si>
    <t>179-181</t>
  </si>
  <si>
    <t>Insufficient socket file handling</t>
  </si>
  <si>
    <t>261-262</t>
  </si>
  <si>
    <t>Logging sensitive data</t>
  </si>
  <si>
    <t>6, 10</t>
  </si>
  <si>
    <t>Transient fields and data exposure</t>
  </si>
  <si>
    <t>364-366</t>
  </si>
  <si>
    <t>Improper temporary file handling (race condition)</t>
  </si>
  <si>
    <t>Handling of RuntimeException</t>
  </si>
  <si>
    <t>358-359</t>
  </si>
  <si>
    <t>Inconsistent use of timeouts</t>
  </si>
  <si>
    <t>A10:2021 - Server-Side Request Forgery</t>
  </si>
  <si>
    <t>335, 366</t>
  </si>
  <si>
    <t>Overly permissive file permissions</t>
  </si>
  <si>
    <t>CVE-2023-5227</t>
  </si>
  <si>
    <t>56–58, 71–76, 100–107, 110–124</t>
  </si>
  <si>
    <t>Unvalidated File Upload</t>
  </si>
  <si>
    <t>A05:2021 – Security Misconfiguration,
A06:2021 – Vulnerable and Outdated Components</t>
  </si>
  <si>
    <t>71–76, 130–133</t>
  </si>
  <si>
    <t>Path Traversal</t>
  </si>
  <si>
    <t>110–124, 121</t>
  </si>
  <si>
    <t>Insufficient Error Handling</t>
  </si>
  <si>
    <t>A09:2021 – Security Logging and Monitoring Failures</t>
  </si>
  <si>
    <t>Unrestricted File Size</t>
  </si>
  <si>
    <t>Configuration Injection</t>
  </si>
  <si>
    <t>A08:2021 – Software and Data Integrity Failures</t>
  </si>
  <si>
    <t>General (Web Form Context)</t>
  </si>
  <si>
    <t>Cross-Site Request Forgery (CSRF)</t>
  </si>
  <si>
    <t>A07:2021 – Identification and Authentication Failures</t>
  </si>
  <si>
    <t>CVE-2022-35411</t>
  </si>
  <si>
    <t>Pickle deserialization (RCE risk)</t>
  </si>
  <si>
    <t>88-90, 105-107</t>
  </si>
  <si>
    <t>Msgpack/CBOR deserialization issues</t>
  </si>
  <si>
    <t>127-143</t>
  </si>
  <si>
    <t>Lack of input validation in headers</t>
  </si>
  <si>
    <t xml:space="preserve"> 7-15</t>
  </si>
  <si>
    <t>Dependency confusion (dynamic imports)</t>
  </si>
  <si>
    <t>49-50, 65, 89-90, 106-107</t>
  </si>
  <si>
    <t>Lack of error handling in deserialization</t>
  </si>
  <si>
    <t>127-143, 63-107</t>
  </si>
  <si>
    <t>Insufficient logging and monitoring</t>
  </si>
  <si>
    <t>A05 - Security Misconfiguration</t>
  </si>
  <si>
    <t>CVE-2022-27195</t>
  </si>
  <si>
    <t>Lack of Defensive Copying</t>
  </si>
  <si>
    <t xml:space="preserve">A04: Insecure Design </t>
  </si>
  <si>
    <t>Exposing Internal State</t>
  </si>
  <si>
    <t>5, 10</t>
  </si>
  <si>
    <t>Potential Data Exposure</t>
  </si>
  <si>
    <t>A02: Cryptographic Failures</t>
  </si>
  <si>
    <t xml:space="preserve"> 5, 10</t>
  </si>
  <si>
    <t>Insufficient Data Sanitization</t>
  </si>
  <si>
    <t>A06: Vulnerable and Outdated Components</t>
  </si>
  <si>
    <t xml:space="preserve">CVE-2023-1712 </t>
  </si>
  <si>
    <t xml:space="preserve"> 12-15</t>
  </si>
  <si>
    <t>Hardcoded admin passwords and JWT secrets</t>
  </si>
  <si>
    <t>A01:2021 - Broken Authentication</t>
  </si>
  <si>
    <t>9-10, 28-29</t>
  </si>
  <si>
    <t>Credentials stored in plaintext</t>
  </si>
  <si>
    <t>A02:2021 - Cryptographic Failures</t>
  </si>
  <si>
    <t>Sensitive data exposed through improper volume management</t>
  </si>
  <si>
    <t>20-21, 41</t>
  </si>
  <si>
    <t>Missing retry logic and service health checks</t>
  </si>
  <si>
    <t>4, 17, 32, 34</t>
  </si>
  <si>
    <t>Exposed ports, unencrypted volumes, latest image tags</t>
  </si>
  <si>
    <t>Use of potentially outdated Docker images</t>
  </si>
  <si>
    <t>38, 41</t>
  </si>
  <si>
    <t>Lack of monitoring on container restarts</t>
  </si>
  <si>
    <t>A09:2021 - Security Logging and Monitoring Failures</t>
  </si>
  <si>
    <t>CVE-2023-48362</t>
  </si>
  <si>
    <t>90-91</t>
  </si>
  <si>
    <t>XML External Entity (XXE) Injection Vulnerability</t>
  </si>
  <si>
    <t>A01:2021 - Broken Access Control,
A06:2021 - Vulnerable and Outdated Components</t>
  </si>
  <si>
    <t>126, 137, 250-252</t>
  </si>
  <si>
    <t>Error Handling and Logging Sensitive Information</t>
  </si>
  <si>
    <t>A01:2021 - Broken Access Control,
A03:2021 - Injection</t>
  </si>
  <si>
    <t>133-143</t>
  </si>
  <si>
    <t>Resource Management (Potential Memory Leak)</t>
  </si>
  <si>
    <t>579-614</t>
  </si>
  <si>
    <t>Data Validation on Parsed Data</t>
  </si>
  <si>
    <t>A10:2021 - Server-Side Request Forgery,
 A05:2021 - Security Misconfiguration</t>
  </si>
  <si>
    <t>153-198</t>
  </si>
  <si>
    <t>Potential Denial of Service (DoS) from Large XML Files</t>
  </si>
  <si>
    <t>A08:2021 - Software and Data Integrity Failures,
A04:2021 - Insecure Design</t>
  </si>
  <si>
    <t>126, 137, 252</t>
  </si>
  <si>
    <t>Error Context Object Exposure</t>
  </si>
  <si>
    <t>A09:2021 - Security Logging and Monitoring Failures,
A01:2021 - Broken Access Control</t>
  </si>
  <si>
    <t>597-614</t>
  </si>
  <si>
    <t>Ensure Date Parsing Safety</t>
  </si>
  <si>
    <t>A07 – Identification and Authentication Failures</t>
  </si>
  <si>
    <t>CVE-2022-36436</t>
  </si>
  <si>
    <t>No authentication option</t>
  </si>
  <si>
    <t>A1:2021 – Broken Access Control</t>
  </si>
  <si>
    <t xml:space="preserve"> 12-13, 184, 78</t>
  </si>
  <si>
    <t>Weak password handling, 3DES usage, no TLS</t>
  </si>
  <si>
    <t>A2:2021 – Cryptographic Failures</t>
  </si>
  <si>
    <t>Lack of encrypted transport (MITM risk)</t>
  </si>
  <si>
    <t>A3:2021 – Injection (MITM)</t>
  </si>
  <si>
    <t xml:space="preserve"> 114-118</t>
  </si>
  <si>
    <t>IP verification via string comparison</t>
  </si>
  <si>
    <t>A5:2021 – Security Misconfiguration</t>
  </si>
  <si>
    <t xml:space="preserve"> 102, 130, 195</t>
  </si>
  <si>
    <t>Replay attack, no rate limiting</t>
  </si>
  <si>
    <t>A7:2021 – Identification and Authentication Failures</t>
  </si>
  <si>
    <t xml:space="preserve"> 142, 164</t>
  </si>
  <si>
    <r>
      <t xml:space="preserve">Incorrect use of </t>
    </r>
    <r>
      <rPr>
        <sz val="10"/>
        <color theme="1"/>
        <rFont val="Arial Unicode MS"/>
      </rPr>
      <t>ord()</t>
    </r>
    <r>
      <rPr>
        <sz val="11"/>
        <color theme="1"/>
        <rFont val="Aptos Narrow"/>
        <family val="2"/>
        <scheme val="minor"/>
      </rPr>
      <t xml:space="preserve"> with Python 3</t>
    </r>
  </si>
  <si>
    <t>A8:2021 – Software and Data Integrity Failures</t>
  </si>
  <si>
    <r>
      <t xml:space="preserve">Lack of DoS protection via </t>
    </r>
    <r>
      <rPr>
        <sz val="10"/>
        <color theme="1"/>
        <rFont val="Arial Unicode MS"/>
      </rPr>
      <t>callLater</t>
    </r>
  </si>
  <si>
    <t>A9:2021 – Security Logging and Monitoring Failures</t>
  </si>
  <si>
    <t>CVE-2021-3116</t>
  </si>
  <si>
    <t>7–12</t>
  </si>
  <si>
    <t>Credentials are exposed as plain text through arguments.</t>
  </si>
  <si>
    <t>Inadequate validation for the proxy-authorization header.</t>
  </si>
  <si>
    <t>Risk of IndexError and header tampering without proper checks.</t>
  </si>
  <si>
    <t>A1:2021 – Broken Access Control,
A4:2021 – Insecure Design</t>
  </si>
  <si>
    <t>21–23</t>
  </si>
  <si>
    <t>Faulty logic using and instead of or in validation.</t>
  </si>
  <si>
    <t>Potential information leakage via exception messages.</t>
  </si>
  <si>
    <t>CVE-2019-12496</t>
  </si>
  <si>
    <t>InsecureSkipVerify: true</t>
  </si>
  <si>
    <t>35–36</t>
  </si>
  <si>
    <t>Plain-text credentials</t>
  </si>
  <si>
    <t>Use of panic()</t>
  </si>
  <si>
    <t>No mutual TLS (mTLS)</t>
  </si>
  <si>
    <t>Deprecated function (ioutil.ReadFile)</t>
  </si>
  <si>
    <t>Auto-reconnect without backoff</t>
  </si>
  <si>
    <t>-</t>
  </si>
  <si>
    <t>Missing nil check in multi-error</t>
  </si>
  <si>
    <t xml:space="preserve">A08:2021 – Software and Data Integrity </t>
  </si>
  <si>
    <t>CVE-2024-32883</t>
  </si>
  <si>
    <t>~496–500</t>
  </si>
  <si>
    <t>Insufficient error handling</t>
  </si>
  <si>
    <t>~341–348</t>
  </si>
  <si>
    <t>Timing attack on key comparison</t>
  </si>
  <si>
    <t>~282–293</t>
  </si>
  <si>
    <t>Signature confusion attack potential</t>
  </si>
  <si>
    <t>~558–566</t>
  </si>
  <si>
    <t>Incomplete fault injection mitigation</t>
  </si>
  <si>
    <t>~98, 332, 526</t>
  </si>
  <si>
    <t>Sensitive data not cleared from memory</t>
  </si>
  <si>
    <t>A03:2021 – Insecure Data Handling</t>
  </si>
  <si>
    <t>~63–70</t>
  </si>
  <si>
    <t>Integer overflow and buffer overflow risk</t>
  </si>
  <si>
    <t>~506–526</t>
  </si>
  <si>
    <t>Insufficient rollback protection</t>
  </si>
  <si>
    <t>~72–100</t>
  </si>
  <si>
    <t>Unchecked flash read errors</t>
  </si>
  <si>
    <t>CVE-2023-49297</t>
  </si>
  <si>
    <t>Exposing internal error messages may reveal sensitive system information.</t>
  </si>
  <si>
    <t>41-66</t>
  </si>
  <si>
    <t>Hardcoded secrets and credentials increase the risk of sensitive data exposure.</t>
  </si>
  <si>
    <t>Lack of input validation allows injection of malicious YAML data.</t>
  </si>
  <si>
    <t>37-38</t>
  </si>
  <si>
    <t>Configuration injection due to weak file validation controls.</t>
  </si>
  <si>
    <t>No control over file permissions on sensitive configuration files.</t>
  </si>
  <si>
    <t>143-148</t>
  </si>
  <si>
    <t>Missing dependency validation could cause misconfigurations.</t>
  </si>
  <si>
    <t>A06:2021 - Vulnerable Components</t>
  </si>
  <si>
    <t>Insecure deserialization with yaml.load can lead to Remote Code Execution.</t>
  </si>
  <si>
    <t>A08:2021 - Software Integrity Failures</t>
  </si>
  <si>
    <t>CVE-2023-51656</t>
  </si>
  <si>
    <t>119-123</t>
  </si>
  <si>
    <t>Unsafe Deserialization</t>
  </si>
  <si>
    <t>62-63, 105</t>
  </si>
  <si>
    <t>Insecure File Handling (Race)</t>
  </si>
  <si>
    <t>45-51</t>
  </si>
  <si>
    <t>Insufficient Exception Handling</t>
  </si>
  <si>
    <t>138-141, 144-147</t>
  </si>
  <si>
    <t>Lack of Synchronization (Race)</t>
  </si>
  <si>
    <t>167-177</t>
  </si>
  <si>
    <t>Hardcoded Wait Time (Potential DoS)</t>
  </si>
  <si>
    <t>119-123, 126-130</t>
  </si>
  <si>
    <t>Inadequate Resource Cleanup</t>
  </si>
  <si>
    <t>85-93</t>
  </si>
  <si>
    <t>Lack of Input Validation</t>
  </si>
  <si>
    <t>A03:2021 – Injection</t>
  </si>
  <si>
    <t>CVE-2024-36127</t>
  </si>
  <si>
    <t>49-155</t>
  </si>
  <si>
    <t>Insecure deserialization</t>
  </si>
  <si>
    <t>77, 85</t>
  </si>
  <si>
    <t>Path traversal attacks</t>
  </si>
  <si>
    <t>51, 54, 80, 83, 149</t>
  </si>
  <si>
    <t>Privilege escalation risks</t>
  </si>
  <si>
    <t>139, 141</t>
  </si>
  <si>
    <t>Command injection</t>
  </si>
  <si>
    <t>Sensitive data exposure via environment vars</t>
  </si>
  <si>
    <t>Resource exhaustion via recursive operations</t>
  </si>
  <si>
    <r>
      <t xml:space="preserve">Insecure use of </t>
    </r>
    <r>
      <rPr>
        <sz val="10"/>
        <color theme="1"/>
        <rFont val="Arial Unicode MS"/>
      </rPr>
      <t>runtime.GOARCH</t>
    </r>
  </si>
  <si>
    <t>Dependency risks</t>
  </si>
  <si>
    <t>CVE-2024-6060</t>
  </si>
  <si>
    <t>288-304</t>
  </si>
  <si>
    <t>Unvalidated JSON Parsing</t>
  </si>
  <si>
    <t>A01:2021 - Broken Access Control,
 A03:2021 - Injection</t>
  </si>
  <si>
    <t>202-207</t>
  </si>
  <si>
    <t>Logging User Input</t>
  </si>
  <si>
    <t>397-400</t>
  </si>
  <si>
    <t>Session Fixation</t>
  </si>
  <si>
    <t>A07:2021 - Identification and Authentication Failures</t>
  </si>
  <si>
    <t>202-210</t>
  </si>
  <si>
    <t>Parameter Processing without Limits</t>
  </si>
  <si>
    <t>291-296</t>
  </si>
  <si>
    <t>Improper Content-Type Validation</t>
  </si>
  <si>
    <t>621-623</t>
  </si>
  <si>
    <t>Open Redirect</t>
  </si>
  <si>
    <t>A01:2021 - Broken Access Control,
A04:2021 - Insecure Design</t>
  </si>
  <si>
    <t>486-493</t>
  </si>
  <si>
    <t>Unvalidated File Item Access</t>
  </si>
  <si>
    <t>567-569</t>
  </si>
  <si>
    <t>HTTP Method Tampering</t>
  </si>
  <si>
    <t>136-140</t>
  </si>
  <si>
    <t>XSS via Inadequate Output Encoding</t>
  </si>
  <si>
    <t>309-314</t>
  </si>
  <si>
    <t>Information Disclosure through Error Handling</t>
  </si>
  <si>
    <t>A09:2021 -</t>
  </si>
  <si>
    <t>CVE-2023-47390</t>
  </si>
  <si>
    <t>511–537, 549–574</t>
  </si>
  <si>
    <t>Weak Token Validation</t>
  </si>
  <si>
    <t>A01:2021 – Broken Access Control, 
A07:2021 – Authentication Failures</t>
  </si>
  <si>
    <t>860–867</t>
  </si>
  <si>
    <t>Insecure gRPC Configuration</t>
  </si>
  <si>
    <t>Exposed Profiling Endpoint</t>
  </si>
  <si>
    <t>A01:2021 – Broken Access Control, 
A04:2021 – Insecure Design</t>
  </si>
  <si>
    <t>1477–1483</t>
  </si>
  <si>
    <t>Weak TLS Configuration</t>
  </si>
  <si>
    <t>224–233</t>
  </si>
  <si>
    <t>Sensitive Data Exposure through Logs</t>
  </si>
  <si>
    <t>A03:2021 – Injection,  
A09:2021 – Security Logging Failures</t>
  </si>
  <si>
    <t>741–744</t>
  </si>
  <si>
    <t>Unvalidated URL Redirection</t>
  </si>
  <si>
    <t>1206–1237</t>
  </si>
  <si>
    <t>Improper Signal Handling</t>
  </si>
  <si>
    <t>A04:2021 – Insecure Design, 
A06:2021 – Vulnerable Components</t>
  </si>
  <si>
    <t>587–588</t>
  </si>
  <si>
    <t>Race Conditions in Goroutines</t>
  </si>
  <si>
    <t>A01:2021 – Broken Access Control, 
A06:2021 – Vulnerable Components</t>
  </si>
  <si>
    <t>849–851</t>
  </si>
  <si>
    <t>File Permission Issues</t>
  </si>
  <si>
    <t>A01:2021 – Broken Access Control, 
A05:2021 – Security Misconfiguration</t>
  </si>
  <si>
    <t>551–553, 572–574</t>
  </si>
  <si>
    <t>Detailed Error Messages Sent to Clients</t>
  </si>
  <si>
    <t>A10:2021 – Server-Side Request Forgery (SSRF)</t>
  </si>
  <si>
    <t>CVE-2024-29736</t>
  </si>
  <si>
    <t>305-307</t>
  </si>
  <si>
    <t>Weak HTTP Method Validation</t>
  </si>
  <si>
    <t>334-336</t>
  </si>
  <si>
    <t>Lack of Input Validation (Query Parameter)</t>
  </si>
  <si>
    <t>372-385</t>
  </si>
  <si>
    <t>IP Allowlist Bypass via Spoofing</t>
  </si>
  <si>
    <t>400-404</t>
  </si>
  <si>
    <t>Denial of Service (DoS) Risk</t>
  </si>
  <si>
    <t>1150-1153</t>
  </si>
  <si>
    <t>Open Redirect via URI Manipulation</t>
  </si>
  <si>
    <t>405-409</t>
  </si>
  <si>
    <t>Unhandled Errors Leading to Information Leakage</t>
  </si>
  <si>
    <t>CVE-2024-31215</t>
  </si>
  <si>
    <t>Insufficient error handling for HTTP requests</t>
  </si>
  <si>
    <t>Missing timeout in HTTP requests</t>
  </si>
  <si>
    <t>Insufficient validation of URLs</t>
  </si>
  <si>
    <t>A10:2021 – SSRF</t>
  </si>
  <si>
    <t>210-213</t>
  </si>
  <si>
    <t>Weak URL validation allowing malicious URLs</t>
  </si>
  <si>
    <t>Logging sensitive URL information</t>
  </si>
  <si>
    <t>213-217</t>
  </si>
  <si>
    <t>Lack of error handling for open_firebase() results</t>
  </si>
  <si>
    <t>CVE-2024-42352</t>
  </si>
  <si>
    <t>9-11, 18</t>
  </si>
  <si>
    <t>SSRF via URL Parsing</t>
  </si>
  <si>
    <t>A10:2021 – Server-Side Request Forgery (SSRF), 
A05:2021 – Security Misconfiguration</t>
  </si>
  <si>
    <t>Prototype Pollution via Collections</t>
  </si>
  <si>
    <t>A01:2021 – Broken Access Control, 
A08:2021 – Software and Data Integrity Failures</t>
  </si>
  <si>
    <t>23-31</t>
  </si>
  <si>
    <t>Information Leakage in Development Mode</t>
  </si>
  <si>
    <t>A01:2021 – Broken Access Control, 
A09:2021 – Security Logging and Monitoring Failures</t>
  </si>
  <si>
    <t>32-36</t>
  </si>
  <si>
    <t>External API Fetch without Error Handling</t>
  </si>
  <si>
    <t>A03:2021 – Injection, 
A08:2021 – Software and Data Integrity Failures</t>
  </si>
  <si>
    <t>Lack of Rate Limiting (DoS Risk)</t>
  </si>
  <si>
    <t>A06:2021 – Vulnerable and Outdated Components, A04:2021 – Insecure Design</t>
  </si>
  <si>
    <t>Prototype Pollution via Query Parameters</t>
  </si>
  <si>
    <t>A03:2021 – Injection, 
A05:2021 – Security Misconfiguration</t>
  </si>
  <si>
    <t>Code</t>
  </si>
  <si>
    <t>file_path = os.path.join(temp_dir, filename): This line constructs the file path using os.path.join which can be vulnerable to directory traversal if filename contains malicious characters.</t>
  </si>
  <si>
    <t xml:space="preserve"> A01: Injection</t>
  </si>
  <si>
    <t>The Gemini output does not provide the line code for most of the vulnerabilities and the OWASP 2021</t>
  </si>
  <si>
    <t>file_path = os.path.join(temp_dir, filename): This line uses filename without proper validation, potentially allowing malicious input to affect the file path.</t>
  </si>
  <si>
    <t>FP</t>
  </si>
  <si>
    <t xml:space="preserve">  A06: Sensitive Data Exposure</t>
  </si>
  <si>
    <t>Some of the outputs align more with the 2017 OWASP list and not the recent  2021 one.</t>
  </si>
  <si>
    <t>103: with open(file_path, 'wb') as content_file: This line opens the file for writing based on the constructed file_path. If the path is compromised due to directory traversal, it could lead to unintended file writes or accesses.</t>
  </si>
  <si>
    <t xml:space="preserve"> A07: Cross-Site Scripting (XSS)</t>
  </si>
  <si>
    <t>resp = session.get(target_url, ...): This line downloads the file based on the target_url without verifying the content. Malicious executables or scripts could be downloaded.</t>
  </si>
  <si>
    <t xml:space="preserve"> The Accept-Encoding header is set to identity to avoid compression issues. While this might be necessary in some cases, it's important to ensure it doesn't introduce other vulnerabilities or compatibility problems.</t>
  </si>
  <si>
    <t>The content_type is checked, but there's no explicit validation of the type against expected values. An attacker could potentially send a file with a misleading content type.</t>
  </si>
  <si>
    <t>The regular expression suspicious_patterns = re.compile(r'(\.\.+)|(/+/)') only detects basic path traversal attempts like ../ or repeated forward slashes. More sophisticated attacks using symbolic links or .. within filenames might bypass the check.</t>
  </si>
  <si>
    <t>The regular expression suspicious_patterns = re.compile(r'(\$\(.*\))') only detects basic command injection using $(whoami). More complex variations with environment variables or other execution methods might evade detection.</t>
  </si>
  <si>
    <t>While the code removes some special characters, others like = could still be used for malicious purposes depending on the context.</t>
  </si>
  <si>
    <t>The current regular expressions might flag legitimate paths with repeated dots or forward slashes (e.g., paths containing version numbers)</t>
  </si>
  <si>
    <t>return filepath.Join(dir, "manifests", mp.Registry, mp.Namespace, mp.Repository, mp.Tag), nil</t>
  </si>
  <si>
    <t>return filepath.Join(dir, "blobs", digest), nil</t>
  </si>
  <si>
    <t xml:space="preserve">A02:2021 - Cryptographic Failures 
</t>
  </si>
  <si>
    <t>mp.ProtocolScheme = before</t>
  </si>
  <si>
    <t>Insecure Directory Configuration</t>
  </si>
  <si>
    <t>In some cases, an attacker might be able to gain unauthorized access to system files or execute malicious code by crafting malicious requests.</t>
  </si>
  <si>
    <t>A03: Injection</t>
  </si>
  <si>
    <t>A06: Sensitive Data Exposure</t>
  </si>
  <si>
    <t>Hardcoded or Insecure Storage of JWT Secret Key</t>
  </si>
  <si>
    <t>Cryptographic Failures (A02)</t>
  </si>
  <si>
    <t>Only checks the format of the endpoint (IP:port) but doesn't validate the IP address itself.</t>
  </si>
  <si>
    <t>Security Misconfiguration (A05)</t>
  </si>
  <si>
    <t>The function directly deserializes data from the database without proper validation.</t>
  </si>
  <si>
    <r>
      <t xml:space="preserve">The </t>
    </r>
    <r>
      <rPr>
        <sz val="11"/>
        <color rgb="FF444746"/>
        <rFont val="Google Sans Mono"/>
        <family val="3"/>
      </rPr>
      <t>ncutils.RunCmd</t>
    </r>
    <r>
      <rPr>
        <sz val="11"/>
        <color rgb="FF1F1F1F"/>
        <rFont val="Aptos Narrow"/>
        <family val="2"/>
        <scheme val="minor"/>
      </rPr>
      <t xml:space="preserve"> function executes shell commands.</t>
    </r>
  </si>
  <si>
    <t>If user input is passed to this function without proper sanitization, it could lead to command injection vulnerabilities.</t>
  </si>
  <si>
    <t xml:space="preserve"> The function retrieves the public key of a node from the database. If this key is leaked, it could compromise the security of the communication between nodes.</t>
  </si>
  <si>
    <t xml:space="preserve">Unencrypted Communication </t>
  </si>
  <si>
    <r>
      <t>A02: Cryptographic Failures</t>
    </r>
    <r>
      <rPr>
        <sz val="11"/>
        <color rgb="FF1F1F1F"/>
        <rFont val="Aptos Narrow"/>
        <family val="2"/>
        <scheme val="minor"/>
      </rPr>
      <t>.</t>
    </r>
  </si>
  <si>
    <t>Lack of Error Handling for Specific API Errors</t>
  </si>
  <si>
    <t>Potential Denial-of-Service (DoS) Attack</t>
  </si>
  <si>
    <t>Line 30-32</t>
  </si>
  <si>
    <t>Insecure LDAP Connection</t>
  </si>
  <si>
    <t>Leaking Credentials in Logs</t>
  </si>
  <si>
    <t>Hardcoded Configuration</t>
  </si>
  <si>
    <t>Unvalidated User Input</t>
  </si>
  <si>
    <t xml:space="preserve">A03 Injection </t>
  </si>
  <si>
    <t xml:space="preserve">A02 Cryptographic Failures </t>
  </si>
  <si>
    <t xml:space="preserve">A04 Insecure Design </t>
  </si>
  <si>
    <t xml:space="preserve">A05 Security Misconfiguration </t>
  </si>
  <si>
    <t xml:space="preserve">A06 Vulnerable and Outdated Components </t>
  </si>
  <si>
    <t xml:space="preserve">A07 Identification and Authentication Failures </t>
  </si>
  <si>
    <t xml:space="preserve">A08 Software and Data Integrity Failures </t>
  </si>
  <si>
    <t xml:space="preserve">A09 Security Logging and Monitoring Failures </t>
  </si>
  <si>
    <t xml:space="preserve">A10 Server Side Request Forgery (SSRF) </t>
  </si>
  <si>
    <t>Error Handling</t>
  </si>
  <si>
    <t>Cross-Site Scripting (XSS)</t>
  </si>
  <si>
    <t>CSRF (Cross-Site Request Forgery)</t>
  </si>
  <si>
    <t>Insecure Default Headers</t>
  </si>
  <si>
    <t>Insecure Temporary File Permissions</t>
  </si>
  <si>
    <t>33
41</t>
  </si>
  <si>
    <t>Potential SSH Key Exposure</t>
  </si>
  <si>
    <t>Environment Variable Exposure</t>
  </si>
  <si>
    <t>Insecure Callback Mechanism</t>
  </si>
  <si>
    <t>File Upload Vulnerabilities</t>
  </si>
  <si>
    <t xml:space="preserve">
A06:2021 – Vulnerable and Outdated Components</t>
  </si>
  <si>
    <t>Input Validation and Sanitization</t>
  </si>
  <si>
    <t>Permissions and File System Security</t>
  </si>
  <si>
    <t>A08: Software and Data Integrity Failures</t>
  </si>
  <si>
    <t>Usage Context</t>
  </si>
  <si>
    <t>A03: Sensitive Data Exposure</t>
  </si>
  <si>
    <t>Input Validation</t>
  </si>
  <si>
    <t>Access Control</t>
  </si>
  <si>
    <t>A07: Injection</t>
  </si>
  <si>
    <t>Sensitive Data Exposure</t>
  </si>
  <si>
    <t>A06: Security Misconfiguration</t>
  </si>
  <si>
    <t>Wrong categorization</t>
  </si>
  <si>
    <t>XML External Entity (XXE) Injection</t>
  </si>
  <si>
    <t>2017 OWASP</t>
  </si>
  <si>
    <t>Denial of Service (DoS)</t>
  </si>
  <si>
    <t>XML Bomb</t>
  </si>
  <si>
    <t>Hardcoded Security Types</t>
  </si>
  <si>
    <t>A6: Security Misconfiguration</t>
  </si>
  <si>
    <t>Weak Password Storage</t>
  </si>
  <si>
    <t>Insecure Password Storage</t>
  </si>
  <si>
    <t>Man-in-the-Middle Attacks</t>
  </si>
  <si>
    <t>A3: Cryptographic Failures</t>
  </si>
  <si>
    <t>Invalid Certificate Acceptance</t>
  </si>
  <si>
    <t>Insecure Deserialization</t>
  </si>
  <si>
    <t>Error Handling and Logging</t>
  </si>
  <si>
    <t>CVE-2023-32883</t>
  </si>
  <si>
    <t>Insufficient Logging and Monitoring (A10)</t>
  </si>
  <si>
    <t>Memory Safety and Buffer Overflows</t>
  </si>
  <si>
    <t>Security Misconfiguration (A6)</t>
  </si>
  <si>
    <t>Cryptographic Implementation</t>
  </si>
  <si>
    <t>Cryptographic Failures (A7)</t>
  </si>
  <si>
    <t>Secure Coding Practices</t>
  </si>
  <si>
    <t>Injection (A3)</t>
  </si>
  <si>
    <t>Deserialization Vulnerability</t>
  </si>
  <si>
    <t>Insecure Direct Object References (IDOR)</t>
  </si>
  <si>
    <t>Insecure Design (A04)</t>
  </si>
  <si>
    <t>Privilege Escalation</t>
  </si>
  <si>
    <t>Unvalidated user input</t>
  </si>
  <si>
    <t>Hardcoded Credentials</t>
  </si>
  <si>
    <t>User-Controlled Input</t>
  </si>
  <si>
    <t>245-258</t>
  </si>
  <si>
    <t>Unvalidated JSON Data</t>
  </si>
  <si>
    <t>Broken Access Control (A01)</t>
  </si>
  <si>
    <t>389-424</t>
  </si>
  <si>
    <t>Missing Access Control Checks</t>
  </si>
  <si>
    <t>vulnerability related to gRPC server configuration.</t>
  </si>
  <si>
    <t>A1: Injection</t>
  </si>
  <si>
    <t>Man-in-the-Middle (MITM) Attacks</t>
  </si>
  <si>
    <t>Unauthorized Access</t>
  </si>
  <si>
    <t>12--15</t>
  </si>
  <si>
    <t>24--29</t>
  </si>
  <si>
    <t>Information Disclosure</t>
  </si>
  <si>
    <t>Insecure User-Agent</t>
  </si>
  <si>
    <t xml:space="preserve">A03: Injection </t>
  </si>
  <si>
    <t xml:space="preserve">A01: Broken Access Control </t>
  </si>
  <si>
    <t>Limited Open Database Detection</t>
  </si>
  <si>
    <t>A07: Cross-Site Scripting (XSS)</t>
  </si>
  <si>
    <t>A08: Insecure Deserialization</t>
  </si>
  <si>
    <t>22---</t>
  </si>
  <si>
    <t>Unsanitized Input</t>
  </si>
  <si>
    <t>38-41</t>
  </si>
  <si>
    <t>External Resource Loading</t>
  </si>
  <si>
    <t>TP = 28</t>
  </si>
  <si>
    <t>FP = 77</t>
  </si>
  <si>
    <t>For each of the  identified vulnerabilities, provide an exploit example that an attacker could use. Include a step-by-step explanation of how the exploit works, the necessary conditions or setup, and any potential limitations or obstacles an attacker might face. Ensure the exploits are specific to the vulnerability type provided.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</si>
</sst>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theme="1"/>
      <name val="Aptos Narrow"/>
      <family val="2"/>
      <scheme val="minor"/>
    </font>
    <font>
      <sz val="8"/>
      <name val="Aptos Narrow"/>
      <family val="2"/>
      <scheme val="minor"/>
    </font>
    <font>
      <sz val="10"/>
      <color theme="1"/>
      <name val="Arial Unicode MS"/>
    </font>
    <font>
      <sz val="11"/>
      <color rgb="FF1F1F1F"/>
      <name val="Aptos Narrow"/>
      <family val="2"/>
      <scheme val="minor"/>
    </font>
    <font>
      <sz val="11"/>
      <color rgb="FF444746"/>
      <name val="Google Sans Mono"/>
      <family val="3"/>
    </font>
    <font>
      <sz val="11"/>
      <name val="Aptos Narrow"/>
      <family val="2"/>
      <scheme val="minor"/>
    </font>
    <font>
      <u/>
      <sz val="11"/>
      <color theme="10"/>
      <name val="Aptos Narrow"/>
      <family val="2"/>
      <scheme val="minor"/>
    </font>
  </fonts>
  <fills count="5">
    <fill>
      <patternFill patternType="none"/>
    </fill>
    <fill>
      <patternFill patternType="gray125"/>
    </fill>
    <fill>
      <patternFill patternType="solid">
        <fgColor theme="4" tint="0.79998168889431442"/>
        <bgColor theme="4" tint="0.79998168889431442"/>
      </patternFill>
    </fill>
    <fill>
      <patternFill patternType="solid">
        <fgColor theme="9"/>
        <bgColor indexed="64"/>
      </patternFill>
    </fill>
    <fill>
      <patternFill patternType="solid">
        <fgColor rgb="FF92D050"/>
        <bgColor indexed="64"/>
      </patternFill>
    </fill>
  </fills>
  <borders count="12">
    <border>
      <left/>
      <right/>
      <top/>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rgb="FF000000"/>
      </bottom>
      <diagonal/>
    </border>
  </borders>
  <cellStyleXfs count="2">
    <xf numFmtId="0" fontId="0" fillId="0" borderId="0"/>
    <xf numFmtId="0" fontId="7" fillId="0" borderId="0" applyNumberFormat="0" applyFill="0" applyBorder="0" applyAlignment="0" applyProtection="0"/>
  </cellStyleXfs>
  <cellXfs count="92">
    <xf numFmtId="0" fontId="0" fillId="0" borderId="0" xfId="0"/>
    <xf numFmtId="0" fontId="0" fillId="0" borderId="0" xfId="0" applyAlignment="1">
      <alignment wrapText="1"/>
    </xf>
    <xf numFmtId="0" fontId="0" fillId="0" borderId="0" xfId="0" applyAlignment="1">
      <alignment vertical="center" wrapText="1"/>
    </xf>
    <xf numFmtId="0" fontId="1" fillId="0" borderId="0" xfId="0" applyFont="1" applyAlignment="1">
      <alignment vertical="center" wrapText="1"/>
    </xf>
    <xf numFmtId="0" fontId="0" fillId="2" borderId="1" xfId="0" applyFill="1" applyBorder="1" applyAlignment="1">
      <alignment vertical="top" wrapText="1"/>
    </xf>
    <xf numFmtId="0" fontId="0" fillId="2" borderId="1" xfId="0" applyFill="1" applyBorder="1" applyAlignment="1">
      <alignment horizontal="left" vertical="top" wrapText="1"/>
    </xf>
    <xf numFmtId="0" fontId="0" fillId="2" borderId="1" xfId="0" applyFill="1" applyBorder="1" applyAlignment="1">
      <alignment vertical="center" wrapText="1"/>
    </xf>
    <xf numFmtId="0" fontId="1" fillId="2" borderId="2" xfId="0" applyFont="1" applyFill="1" applyBorder="1" applyAlignment="1">
      <alignment vertical="center" wrapText="1"/>
    </xf>
    <xf numFmtId="0" fontId="0" fillId="0" borderId="1" xfId="0" applyBorder="1" applyAlignment="1">
      <alignment vertical="top" wrapText="1"/>
    </xf>
    <xf numFmtId="0" fontId="0" fillId="0" borderId="1" xfId="0" applyBorder="1" applyAlignment="1">
      <alignment horizontal="left" vertical="top" wrapText="1"/>
    </xf>
    <xf numFmtId="0" fontId="0" fillId="0" borderId="1" xfId="0" applyBorder="1" applyAlignment="1">
      <alignment vertical="center" wrapText="1"/>
    </xf>
    <xf numFmtId="0" fontId="0" fillId="0" borderId="2" xfId="0" applyBorder="1" applyAlignment="1">
      <alignment vertical="top" wrapText="1"/>
    </xf>
    <xf numFmtId="0" fontId="1" fillId="0" borderId="2" xfId="0" applyFont="1" applyBorder="1" applyAlignment="1">
      <alignmen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0" xfId="0" applyAlignment="1">
      <alignment horizontal="left" vertical="center" wrapText="1"/>
    </xf>
    <xf numFmtId="0" fontId="0" fillId="0" borderId="7"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3" fontId="0" fillId="0" borderId="0" xfId="0" applyNumberFormat="1" applyAlignment="1">
      <alignment horizontal="left" vertical="center" wrapText="1"/>
    </xf>
    <xf numFmtId="0" fontId="0" fillId="3" borderId="4" xfId="0" applyFill="1" applyBorder="1" applyAlignment="1">
      <alignment horizontal="left" vertical="center" wrapText="1"/>
    </xf>
    <xf numFmtId="0" fontId="0" fillId="0" borderId="7" xfId="0" applyBorder="1" applyAlignment="1">
      <alignment vertical="center" wrapText="1"/>
    </xf>
    <xf numFmtId="0" fontId="0" fillId="0" borderId="4" xfId="0" applyBorder="1" applyAlignment="1">
      <alignment vertical="center" wrapText="1"/>
    </xf>
    <xf numFmtId="0" fontId="0" fillId="0" borderId="9" xfId="0" applyBorder="1" applyAlignment="1">
      <alignment vertical="center" wrapText="1"/>
    </xf>
    <xf numFmtId="0" fontId="0" fillId="0" borderId="5" xfId="0" applyBorder="1" applyAlignment="1">
      <alignment vertical="center" wrapText="1"/>
    </xf>
    <xf numFmtId="0" fontId="0" fillId="0" borderId="10" xfId="0" applyBorder="1" applyAlignment="1">
      <alignment vertical="center" wrapText="1"/>
    </xf>
    <xf numFmtId="0" fontId="0" fillId="0" borderId="3" xfId="0" applyBorder="1" applyAlignment="1">
      <alignment vertical="center" wrapText="1"/>
    </xf>
    <xf numFmtId="0" fontId="0" fillId="0" borderId="0" xfId="0" applyAlignment="1">
      <alignment vertical="center"/>
    </xf>
    <xf numFmtId="0" fontId="0" fillId="0" borderId="0" xfId="0" applyAlignment="1">
      <alignment horizontal="left" vertical="center"/>
    </xf>
    <xf numFmtId="0" fontId="0" fillId="0" borderId="6" xfId="0" applyBorder="1" applyAlignment="1">
      <alignment vertical="center" wrapText="1"/>
    </xf>
    <xf numFmtId="0" fontId="0" fillId="0" borderId="8" xfId="0" applyBorder="1" applyAlignment="1">
      <alignment vertical="center" wrapText="1"/>
    </xf>
    <xf numFmtId="0" fontId="0" fillId="3" borderId="4" xfId="0" applyFill="1" applyBorder="1" applyAlignment="1">
      <alignment vertical="center" wrapText="1"/>
    </xf>
    <xf numFmtId="0" fontId="0" fillId="0" borderId="6" xfId="0" applyBorder="1"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8" xfId="0" applyBorder="1" applyAlignment="1">
      <alignment vertical="center"/>
    </xf>
    <xf numFmtId="0" fontId="0" fillId="0" borderId="9" xfId="0" applyBorder="1" applyAlignment="1">
      <alignment vertical="center"/>
    </xf>
    <xf numFmtId="0" fontId="0" fillId="0" borderId="4" xfId="0" applyBorder="1" applyAlignment="1">
      <alignment horizontal="left" vertical="center"/>
    </xf>
    <xf numFmtId="0" fontId="0" fillId="0" borderId="5" xfId="0" applyBorder="1" applyAlignment="1">
      <alignment vertical="center"/>
    </xf>
    <xf numFmtId="0" fontId="0" fillId="0" borderId="7" xfId="0" applyBorder="1" applyAlignment="1">
      <alignment vertical="center"/>
    </xf>
    <xf numFmtId="0" fontId="0" fillId="3" borderId="0" xfId="0" applyFill="1" applyAlignment="1">
      <alignment horizontal="left" vertical="center" wrapText="1"/>
    </xf>
    <xf numFmtId="0" fontId="0" fillId="3" borderId="0" xfId="0" applyFill="1" applyAlignment="1">
      <alignment vertical="center" wrapText="1"/>
    </xf>
    <xf numFmtId="17" fontId="0" fillId="0" borderId="0" xfId="0" applyNumberFormat="1" applyAlignment="1">
      <alignment vertical="center" wrapText="1"/>
    </xf>
    <xf numFmtId="17" fontId="0" fillId="0" borderId="4" xfId="0" applyNumberFormat="1" applyBorder="1" applyAlignment="1">
      <alignment horizontal="left" vertical="center" wrapText="1"/>
    </xf>
    <xf numFmtId="0" fontId="0" fillId="0" borderId="9" xfId="0" applyBorder="1" applyAlignment="1">
      <alignment horizontal="left" vertical="center"/>
    </xf>
    <xf numFmtId="17" fontId="0" fillId="0" borderId="0" xfId="0" applyNumberFormat="1" applyAlignment="1">
      <alignment horizontal="left" vertical="center" wrapText="1"/>
    </xf>
    <xf numFmtId="0" fontId="0" fillId="0" borderId="4" xfId="0" applyBorder="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5" xfId="0" applyBorder="1" applyAlignment="1">
      <alignment horizontal="left" vertical="top" wrapText="1"/>
    </xf>
    <xf numFmtId="0" fontId="0" fillId="0" borderId="7" xfId="0" applyBorder="1" applyAlignment="1">
      <alignment horizontal="left" vertical="top" wrapText="1"/>
    </xf>
    <xf numFmtId="0" fontId="0" fillId="0" borderId="9" xfId="0" applyBorder="1" applyAlignment="1">
      <alignment horizontal="left" vertical="top" wrapText="1"/>
    </xf>
    <xf numFmtId="0" fontId="4" fillId="0" borderId="5" xfId="0" applyFont="1" applyBorder="1"/>
    <xf numFmtId="0" fontId="4" fillId="0" borderId="7" xfId="0" applyFont="1" applyBorder="1"/>
    <xf numFmtId="0" fontId="4" fillId="0" borderId="0" xfId="0" applyFont="1" applyAlignment="1">
      <alignment horizontal="left" vertical="top" wrapText="1" indent="2"/>
    </xf>
    <xf numFmtId="0" fontId="6" fillId="0" borderId="5" xfId="0" applyFont="1" applyBorder="1"/>
    <xf numFmtId="0" fontId="6" fillId="0" borderId="10" xfId="1" applyFont="1" applyBorder="1" applyAlignment="1">
      <alignment vertical="center" wrapText="1"/>
    </xf>
    <xf numFmtId="0" fontId="6" fillId="0" borderId="7" xfId="1" applyFont="1" applyBorder="1" applyAlignment="1">
      <alignment vertical="top"/>
    </xf>
    <xf numFmtId="0" fontId="6" fillId="0" borderId="7" xfId="1" applyFont="1" applyBorder="1"/>
    <xf numFmtId="0" fontId="6" fillId="0" borderId="0" xfId="0" applyFont="1" applyAlignment="1">
      <alignment horizontal="left" vertical="center" wrapText="1"/>
    </xf>
    <xf numFmtId="0" fontId="6" fillId="0" borderId="0" xfId="0" applyFont="1" applyAlignment="1">
      <alignment horizontal="left" wrapText="1"/>
    </xf>
    <xf numFmtId="0" fontId="6" fillId="0" borderId="4" xfId="0" applyFont="1" applyBorder="1" applyAlignment="1">
      <alignment horizontal="left"/>
    </xf>
    <xf numFmtId="0" fontId="6" fillId="0" borderId="4" xfId="0" applyFont="1" applyBorder="1" applyAlignment="1">
      <alignment horizontal="left" vertical="center" indent="1"/>
    </xf>
    <xf numFmtId="0" fontId="0" fillId="0" borderId="6" xfId="0" applyBorder="1"/>
    <xf numFmtId="2" fontId="0" fillId="0" borderId="0" xfId="0" applyNumberFormat="1" applyAlignment="1">
      <alignment horizontal="left" vertical="center" wrapText="1"/>
    </xf>
    <xf numFmtId="2" fontId="0" fillId="0" borderId="9" xfId="0" applyNumberFormat="1" applyBorder="1" applyAlignment="1">
      <alignment horizontal="left" vertical="center" wrapText="1"/>
    </xf>
    <xf numFmtId="0" fontId="0" fillId="4" borderId="4" xfId="0" applyFill="1" applyBorder="1" applyAlignment="1">
      <alignment horizontal="left" vertical="center" wrapText="1"/>
    </xf>
    <xf numFmtId="0" fontId="0" fillId="4" borderId="4" xfId="0" applyFill="1" applyBorder="1" applyAlignment="1">
      <alignment vertical="center" wrapText="1"/>
    </xf>
    <xf numFmtId="0" fontId="6" fillId="4" borderId="7" xfId="1" applyFont="1" applyFill="1" applyBorder="1" applyAlignment="1">
      <alignment vertical="top"/>
    </xf>
    <xf numFmtId="0" fontId="0" fillId="4" borderId="0" xfId="0" applyFill="1" applyAlignment="1">
      <alignment vertical="center" wrapText="1"/>
    </xf>
    <xf numFmtId="0" fontId="0" fillId="4" borderId="7" xfId="0" applyFill="1" applyBorder="1" applyAlignment="1">
      <alignment vertical="center" wrapText="1"/>
    </xf>
    <xf numFmtId="0" fontId="0" fillId="0" borderId="7" xfId="0" applyBorder="1"/>
    <xf numFmtId="0" fontId="0" fillId="4" borderId="4" xfId="0" applyFill="1" applyBorder="1" applyAlignment="1">
      <alignment horizontal="center" vertical="top" wrapText="1"/>
    </xf>
    <xf numFmtId="0" fontId="0" fillId="4" borderId="5" xfId="0" applyFill="1" applyBorder="1" applyAlignment="1">
      <alignment vertical="center" wrapText="1"/>
    </xf>
    <xf numFmtId="0" fontId="4" fillId="0" borderId="4" xfId="0" applyFont="1" applyBorder="1"/>
    <xf numFmtId="0" fontId="4" fillId="0" borderId="5" xfId="0" applyFont="1" applyBorder="1" applyAlignment="1">
      <alignment vertical="top"/>
    </xf>
    <xf numFmtId="0" fontId="4" fillId="0" borderId="7" xfId="0" applyFont="1" applyBorder="1" applyAlignment="1">
      <alignment vertical="top"/>
    </xf>
    <xf numFmtId="0" fontId="4" fillId="4" borderId="7" xfId="0" applyFont="1" applyFill="1" applyBorder="1"/>
    <xf numFmtId="0" fontId="6" fillId="0" borderId="4" xfId="0" applyFont="1" applyBorder="1" applyAlignment="1">
      <alignment horizontal="left" vertical="top"/>
    </xf>
    <xf numFmtId="0" fontId="0" fillId="4" borderId="4" xfId="0" applyFill="1" applyBorder="1" applyAlignment="1">
      <alignment horizontal="left" vertical="top" wrapText="1"/>
    </xf>
    <xf numFmtId="0" fontId="4" fillId="0" borderId="4" xfId="0" applyFont="1" applyBorder="1" applyAlignment="1">
      <alignment horizontal="left" vertical="top"/>
    </xf>
    <xf numFmtId="0" fontId="6" fillId="0" borderId="0" xfId="0" applyFont="1" applyAlignment="1">
      <alignment horizontal="left" vertical="top" wrapText="1"/>
    </xf>
    <xf numFmtId="0" fontId="5" fillId="0" borderId="0" xfId="0" applyFont="1" applyAlignment="1">
      <alignment horizontal="left" vertical="top" wrapText="1"/>
    </xf>
    <xf numFmtId="0" fontId="5" fillId="0" borderId="9" xfId="0" applyFont="1" applyBorder="1" applyAlignment="1">
      <alignment horizontal="left" vertical="top" wrapText="1"/>
    </xf>
    <xf numFmtId="0" fontId="4" fillId="0" borderId="0" xfId="0" applyFont="1" applyAlignment="1">
      <alignment horizontal="left" vertical="top"/>
    </xf>
    <xf numFmtId="0" fontId="4" fillId="4" borderId="4" xfId="0" applyFont="1" applyFill="1" applyBorder="1" applyAlignment="1">
      <alignment horizontal="left" vertical="top"/>
    </xf>
    <xf numFmtId="0" fontId="4" fillId="0" borderId="9" xfId="0" applyFont="1" applyBorder="1" applyAlignment="1">
      <alignment horizontal="left" vertical="top"/>
    </xf>
    <xf numFmtId="0" fontId="6" fillId="4" borderId="0" xfId="0" applyFont="1" applyFill="1" applyAlignment="1">
      <alignment horizontal="left" vertical="top"/>
    </xf>
    <xf numFmtId="0" fontId="6" fillId="0" borderId="0" xfId="0" applyFont="1" applyAlignment="1">
      <alignment horizontal="left" vertical="top"/>
    </xf>
    <xf numFmtId="0" fontId="4" fillId="4" borderId="0" xfId="0" applyFont="1" applyFill="1" applyAlignment="1">
      <alignment horizontal="left" vertical="top"/>
    </xf>
    <xf numFmtId="0" fontId="0" fillId="0" borderId="9" xfId="0" applyBorder="1" applyAlignment="1">
      <alignment horizontal="left" vertical="top"/>
    </xf>
    <xf numFmtId="0" fontId="0" fillId="0" borderId="11" xfId="0" applyBorder="1" applyAlignment="1">
      <alignment vertical="center" wrapText="1"/>
    </xf>
  </cellXfs>
  <cellStyles count="2">
    <cellStyle name="Hyperlink" xfId="1" builtinId="8"/>
    <cellStyle name="Normal" xfId="0" builtinId="0"/>
  </cellStyles>
  <dxfs count="21">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numFmt numFmtId="0" formatCode="General"/>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left" vertical="top"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alignment vertical="center" textRotation="0"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font>
        <b val="0"/>
      </font>
      <alignment horizontal="general" vertical="center" textRotation="0" wrapText="1" indent="0" justifyLastLine="0" shrinkToFit="0" readingOrder="0"/>
    </dxf>
    <dxf>
      <alignment vertical="center"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B7E72E3-E021-4B66-9B7E-A49C952791B6}" name="Table1" displayName="Table1" ref="A1:H236" totalsRowShown="0" headerRowDxfId="20" dataDxfId="19">
  <autoFilter ref="A1:H236" xr:uid="{FB7E72E3-E021-4B66-9B7E-A49C952791B6}"/>
  <tableColumns count="8">
    <tableColumn id="6" xr3:uid="{5E1B9A76-D0AA-4E15-90C9-7B2B9DFF6305}" name="Category" dataDxfId="18"/>
    <tableColumn id="1" xr3:uid="{4B6B6FDF-35DB-4560-B11B-8E22C363EA7A}" name="CVE" dataDxfId="17"/>
    <tableColumn id="2" xr3:uid="{B20FA802-3E96-4365-8492-EDAD8C2E4067}" name="File" dataDxfId="16"/>
    <tableColumn id="3" xr3:uid="{33892124-E01A-4E11-9FB7-AD6E2C8FCFF8}" name="Line Number" dataDxfId="15"/>
    <tableColumn id="4" xr3:uid="{26E4ED17-249D-4DB6-9713-D2D84EAE1013}" name="Vulnerability" dataDxfId="14"/>
    <tableColumn id="5" xr3:uid="{1578324B-5B3D-4AB4-A188-CD628441A7B3}" name="TP/FP" dataDxfId="13"/>
    <tableColumn id="8" xr3:uid="{E2F85A81-BDF6-444F-90D7-350A9E578C97}" name="Categorization" dataDxfId="12"/>
    <tableColumn id="11" xr3:uid="{DD3D7487-9FAD-480A-8DA2-48C0AC2ECD83}" name="Additional Comment" dataDxfId="1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69A9704-8708-4CBC-9769-832CFC1A1A95}" name="Table13" displayName="Table13" ref="A1:I151" totalsRowShown="0" headerRowDxfId="10" dataDxfId="9">
  <autoFilter ref="A1:I151" xr:uid="{FB7E72E3-E021-4B66-9B7E-A49C952791B6}"/>
  <tableColumns count="9">
    <tableColumn id="6" xr3:uid="{D47BCACC-6A9E-4E46-A8BB-AC6457C96588}" name="Category" dataDxfId="8"/>
    <tableColumn id="1" xr3:uid="{9CF2B8FE-2660-4606-8145-079638C8E400}" name="CVE" dataDxfId="7"/>
    <tableColumn id="2" xr3:uid="{D8E4C4F9-54F7-4260-8B2C-E3926B6C60DF}" name="File" dataDxfId="6"/>
    <tableColumn id="3" xr3:uid="{07ACF02C-9ABB-4344-B5E2-B0E426F84B3B}" name="Line Number" dataDxfId="5"/>
    <tableColumn id="4" xr3:uid="{1C96349B-AEBE-4677-B982-731B92A0666D}" name="Vulnerability" dataDxfId="4"/>
    <tableColumn id="5" xr3:uid="{12762740-ED76-4090-B97A-D0D53F0D4CA6}" name="TP/FP" dataDxfId="3"/>
    <tableColumn id="7" xr3:uid="{830C6B3A-8378-4192-8410-1220F0E955CD}" name="Code" dataDxfId="2">
      <calculatedColumnFormula>IF(F2="TP", 1, 0)</calculatedColumnFormula>
    </tableColumn>
    <tableColumn id="8" xr3:uid="{71541519-94D8-498C-89DB-19F1EAEC1D2C}" name="Categorization" dataDxfId="1"/>
    <tableColumn id="11" xr3:uid="{F7AAFA0D-447B-41FB-95E2-B2560695B9E5}" name="Additional Commen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hyperlink" Target="https://owasp.org/Top10/A09_2021-Security_Logging_and_Monitoring_Failures/" TargetMode="External"/><Relationship Id="rId3" Type="http://schemas.openxmlformats.org/officeDocument/2006/relationships/hyperlink" Target="https://owasp.org/Top10/A04_2021-Insecure_Design/" TargetMode="External"/><Relationship Id="rId7" Type="http://schemas.openxmlformats.org/officeDocument/2006/relationships/hyperlink" Target="https://owasp.org/Top10/A08_2021-Software_and_Data_Integrity_Failures/" TargetMode="External"/><Relationship Id="rId2" Type="http://schemas.openxmlformats.org/officeDocument/2006/relationships/hyperlink" Target="https://owasp.org/Top10/A03_2021-Injection/" TargetMode="External"/><Relationship Id="rId1" Type="http://schemas.openxmlformats.org/officeDocument/2006/relationships/hyperlink" Target="https://owasp.org/Top10/A02_2021-Cryptographic_Failures/" TargetMode="External"/><Relationship Id="rId6" Type="http://schemas.openxmlformats.org/officeDocument/2006/relationships/hyperlink" Target="https://owasp.org/Top10/A07_2021-Identification_and_Authentication_Failures/" TargetMode="External"/><Relationship Id="rId5" Type="http://schemas.openxmlformats.org/officeDocument/2006/relationships/hyperlink" Target="https://owasp.org/Top10/A06_2021-Vulnerable_and_Outdated_Components/" TargetMode="External"/><Relationship Id="rId10" Type="http://schemas.openxmlformats.org/officeDocument/2006/relationships/table" Target="../tables/table2.xml"/><Relationship Id="rId4" Type="http://schemas.openxmlformats.org/officeDocument/2006/relationships/hyperlink" Target="https://owasp.org/Top10/A05_2021-Security_Misconfiguration/" TargetMode="External"/><Relationship Id="rId9" Type="http://schemas.openxmlformats.org/officeDocument/2006/relationships/hyperlink" Target="https://owasp.org/Top10/A10_2021-Server-Side_Request_Forgery_%28SSRF%29/"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37565-15BF-4477-8E2F-3B73150A204A}">
  <dimension ref="A1:H477"/>
  <sheetViews>
    <sheetView topLeftCell="A62" zoomScale="85" zoomScaleNormal="85" workbookViewId="0">
      <selection activeCell="K10" sqref="K10"/>
    </sheetView>
  </sheetViews>
  <sheetFormatPr defaultRowHeight="14.45"/>
  <cols>
    <col min="1" max="1" width="29.42578125" customWidth="1"/>
    <col min="2" max="2" width="25.85546875" customWidth="1"/>
    <col min="3" max="3" width="28.42578125" customWidth="1"/>
    <col min="4" max="4" width="30.42578125" customWidth="1"/>
    <col min="5" max="5" width="74.28515625" customWidth="1"/>
    <col min="7" max="7" width="45.7109375" customWidth="1"/>
    <col min="8" max="8" width="26.7109375" customWidth="1"/>
  </cols>
  <sheetData>
    <row r="1" spans="1:8">
      <c r="A1" s="27" t="s">
        <v>0</v>
      </c>
      <c r="B1" s="27" t="s">
        <v>1</v>
      </c>
      <c r="C1" s="27" t="s">
        <v>2</v>
      </c>
      <c r="D1" s="28" t="s">
        <v>3</v>
      </c>
      <c r="E1" s="27" t="s">
        <v>4</v>
      </c>
      <c r="F1" s="27" t="s">
        <v>5</v>
      </c>
      <c r="G1" s="27" t="s">
        <v>6</v>
      </c>
      <c r="H1" s="27" t="s">
        <v>7</v>
      </c>
    </row>
    <row r="2" spans="1:8">
      <c r="A2" s="26" t="s">
        <v>8</v>
      </c>
      <c r="B2" s="26" t="s">
        <v>9</v>
      </c>
      <c r="C2" s="22" t="s">
        <v>10</v>
      </c>
      <c r="D2" s="22" t="s">
        <v>11</v>
      </c>
      <c r="E2" s="22" t="s">
        <v>12</v>
      </c>
      <c r="F2" s="22"/>
      <c r="G2" s="24" t="s">
        <v>13</v>
      </c>
      <c r="H2" s="2"/>
    </row>
    <row r="3" spans="1:8" ht="28.9">
      <c r="A3" s="29"/>
      <c r="B3" s="29"/>
      <c r="C3" s="2"/>
      <c r="D3" s="2" t="s">
        <v>14</v>
      </c>
      <c r="E3" s="2" t="s">
        <v>15</v>
      </c>
      <c r="F3" s="2"/>
      <c r="G3" s="21" t="s">
        <v>16</v>
      </c>
      <c r="H3" s="2"/>
    </row>
    <row r="4" spans="1:8">
      <c r="A4" s="29"/>
      <c r="B4" s="29"/>
      <c r="C4" s="2"/>
      <c r="D4" s="27" t="s">
        <v>17</v>
      </c>
      <c r="E4" s="27" t="s">
        <v>18</v>
      </c>
      <c r="F4" s="2"/>
      <c r="G4" s="21" t="s">
        <v>19</v>
      </c>
      <c r="H4" s="2"/>
    </row>
    <row r="5" spans="1:8">
      <c r="A5" s="29"/>
      <c r="B5" s="29"/>
      <c r="C5" s="2"/>
      <c r="D5" s="2" t="s">
        <v>20</v>
      </c>
      <c r="E5" s="2" t="s">
        <v>21</v>
      </c>
      <c r="F5" s="2"/>
      <c r="G5" s="21" t="s">
        <v>22</v>
      </c>
      <c r="H5" s="2"/>
    </row>
    <row r="6" spans="1:8">
      <c r="A6" s="29"/>
      <c r="B6" s="29"/>
      <c r="C6" s="2"/>
      <c r="D6" s="2" t="s">
        <v>23</v>
      </c>
      <c r="E6" s="27" t="s">
        <v>24</v>
      </c>
      <c r="F6" s="2"/>
      <c r="G6" s="21" t="s">
        <v>25</v>
      </c>
      <c r="H6" s="2"/>
    </row>
    <row r="7" spans="1:8">
      <c r="A7" s="29"/>
      <c r="B7" s="29"/>
      <c r="C7" s="2"/>
      <c r="D7" s="2" t="s">
        <v>26</v>
      </c>
      <c r="E7" s="2" t="s">
        <v>27</v>
      </c>
      <c r="F7" s="2"/>
      <c r="G7" s="21" t="s">
        <v>28</v>
      </c>
      <c r="H7" s="2"/>
    </row>
    <row r="8" spans="1:8">
      <c r="A8" s="29"/>
      <c r="B8" s="29"/>
      <c r="C8" s="2"/>
      <c r="D8" s="2" t="s">
        <v>29</v>
      </c>
      <c r="E8" s="27" t="s">
        <v>30</v>
      </c>
      <c r="F8" s="2"/>
      <c r="G8" s="21" t="s">
        <v>31</v>
      </c>
      <c r="H8" s="2"/>
    </row>
    <row r="9" spans="1:8">
      <c r="A9" s="29"/>
      <c r="B9" s="30"/>
      <c r="C9" s="23"/>
      <c r="D9" s="23" t="s">
        <v>32</v>
      </c>
      <c r="E9" s="23" t="s">
        <v>33</v>
      </c>
      <c r="F9" s="23"/>
      <c r="G9" s="25" t="s">
        <v>34</v>
      </c>
      <c r="H9" s="2"/>
    </row>
    <row r="10" spans="1:8">
      <c r="A10" s="29"/>
      <c r="B10" s="2"/>
      <c r="C10" s="2"/>
      <c r="D10" s="2"/>
      <c r="E10" s="2"/>
      <c r="F10" s="2"/>
      <c r="G10" s="21"/>
      <c r="H10" s="2"/>
    </row>
    <row r="11" spans="1:8">
      <c r="A11" s="29"/>
      <c r="B11" s="2"/>
      <c r="C11" s="2"/>
      <c r="D11" s="2"/>
      <c r="E11" s="2"/>
      <c r="F11" s="2"/>
      <c r="G11" s="21"/>
      <c r="H11" s="2"/>
    </row>
    <row r="12" spans="1:8">
      <c r="A12" s="29"/>
      <c r="B12" s="26" t="s">
        <v>35</v>
      </c>
      <c r="C12" s="22"/>
      <c r="D12" s="13" t="s">
        <v>36</v>
      </c>
      <c r="E12" s="22" t="s">
        <v>37</v>
      </c>
      <c r="F12" s="22"/>
      <c r="G12" s="24" t="s">
        <v>38</v>
      </c>
      <c r="H12" s="2"/>
    </row>
    <row r="13" spans="1:8">
      <c r="A13" s="29"/>
      <c r="B13" s="29"/>
      <c r="C13" s="2"/>
      <c r="D13" s="28">
        <v>47</v>
      </c>
      <c r="E13" s="27" t="s">
        <v>39</v>
      </c>
      <c r="F13" s="2"/>
      <c r="G13" s="21" t="s">
        <v>40</v>
      </c>
      <c r="H13" s="2"/>
    </row>
    <row r="14" spans="1:8">
      <c r="A14" s="29"/>
      <c r="B14" s="29"/>
      <c r="C14" s="2"/>
      <c r="D14" s="28">
        <v>182</v>
      </c>
      <c r="E14" s="27" t="s">
        <v>41</v>
      </c>
      <c r="F14" s="2"/>
      <c r="G14" s="21" t="s">
        <v>42</v>
      </c>
      <c r="H14" s="2"/>
    </row>
    <row r="15" spans="1:8">
      <c r="A15" s="29"/>
      <c r="B15" s="29"/>
      <c r="C15" s="2"/>
      <c r="D15" s="15">
        <v>169</v>
      </c>
      <c r="E15" s="2" t="s">
        <v>43</v>
      </c>
      <c r="F15" s="2"/>
      <c r="G15" s="21" t="s">
        <v>38</v>
      </c>
      <c r="H15" s="2"/>
    </row>
    <row r="16" spans="1:8">
      <c r="A16" s="29"/>
      <c r="B16" s="29"/>
      <c r="C16" s="2"/>
      <c r="D16" s="19" t="s">
        <v>44</v>
      </c>
      <c r="E16" s="2" t="s">
        <v>45</v>
      </c>
      <c r="F16" s="2"/>
      <c r="G16" s="21" t="s">
        <v>38</v>
      </c>
      <c r="H16" s="2"/>
    </row>
    <row r="17" spans="1:8">
      <c r="A17" s="29"/>
      <c r="B17" s="30"/>
      <c r="C17" s="23"/>
      <c r="D17" s="17">
        <v>159</v>
      </c>
      <c r="E17" s="23" t="s">
        <v>46</v>
      </c>
      <c r="F17" s="23"/>
      <c r="G17" s="25" t="s">
        <v>42</v>
      </c>
      <c r="H17" s="2"/>
    </row>
    <row r="18" spans="1:8">
      <c r="A18" s="29"/>
      <c r="B18" s="2"/>
      <c r="C18" s="2"/>
      <c r="D18" s="2"/>
      <c r="E18" s="2"/>
      <c r="F18" s="2"/>
      <c r="G18" s="21"/>
      <c r="H18" s="2"/>
    </row>
    <row r="19" spans="1:8">
      <c r="A19" s="29"/>
      <c r="B19" s="26" t="s">
        <v>47</v>
      </c>
      <c r="C19" s="22"/>
      <c r="D19" s="13">
        <v>26</v>
      </c>
      <c r="E19" s="22" t="s">
        <v>48</v>
      </c>
      <c r="F19" s="22"/>
      <c r="G19" s="24" t="s">
        <v>49</v>
      </c>
      <c r="H19" s="2"/>
    </row>
    <row r="20" spans="1:8">
      <c r="A20" s="29"/>
      <c r="B20" s="29"/>
      <c r="C20" s="2"/>
      <c r="D20" s="15" t="s">
        <v>50</v>
      </c>
      <c r="E20" s="2" t="s">
        <v>51</v>
      </c>
      <c r="F20" s="2"/>
      <c r="G20" s="21" t="s">
        <v>40</v>
      </c>
      <c r="H20" s="2"/>
    </row>
    <row r="21" spans="1:8">
      <c r="A21" s="29"/>
      <c r="B21" s="29"/>
      <c r="C21" s="2"/>
      <c r="D21" s="15" t="s">
        <v>52</v>
      </c>
      <c r="E21" s="2" t="s">
        <v>53</v>
      </c>
      <c r="F21" s="2"/>
      <c r="G21" s="21" t="s">
        <v>54</v>
      </c>
      <c r="H21" s="2"/>
    </row>
    <row r="22" spans="1:8">
      <c r="A22" s="29"/>
      <c r="B22" s="29"/>
      <c r="C22" s="2"/>
      <c r="D22" s="15" t="s">
        <v>55</v>
      </c>
      <c r="E22" s="2" t="s">
        <v>56</v>
      </c>
      <c r="F22" s="2"/>
      <c r="G22" s="21" t="s">
        <v>42</v>
      </c>
      <c r="H22" s="2"/>
    </row>
    <row r="23" spans="1:8">
      <c r="A23" s="29"/>
      <c r="B23" s="29"/>
      <c r="C23" s="2"/>
      <c r="D23" s="15">
        <v>13</v>
      </c>
      <c r="E23" s="2" t="s">
        <v>57</v>
      </c>
      <c r="F23" s="2"/>
      <c r="G23" s="21" t="s">
        <v>58</v>
      </c>
      <c r="H23" s="2"/>
    </row>
    <row r="24" spans="1:8">
      <c r="A24" s="29"/>
      <c r="B24" s="29"/>
      <c r="C24" s="2"/>
      <c r="D24" s="15" t="s">
        <v>59</v>
      </c>
      <c r="E24" s="2" t="s">
        <v>60</v>
      </c>
      <c r="F24" s="2"/>
      <c r="G24" s="21" t="s">
        <v>38</v>
      </c>
      <c r="H24" s="2"/>
    </row>
    <row r="25" spans="1:8">
      <c r="A25" s="29"/>
      <c r="B25" s="29"/>
      <c r="C25" s="2"/>
      <c r="D25" s="15">
        <v>18</v>
      </c>
      <c r="E25" s="2" t="s">
        <v>61</v>
      </c>
      <c r="F25" s="2"/>
      <c r="G25" s="21" t="s">
        <v>38</v>
      </c>
      <c r="H25" s="2"/>
    </row>
    <row r="26" spans="1:8">
      <c r="A26" s="29"/>
      <c r="B26" s="29"/>
      <c r="C26" s="2"/>
      <c r="D26" s="15">
        <v>10</v>
      </c>
      <c r="E26" s="2" t="s">
        <v>62</v>
      </c>
      <c r="F26" s="2"/>
      <c r="G26" s="21" t="s">
        <v>38</v>
      </c>
      <c r="H26" s="2"/>
    </row>
    <row r="27" spans="1:8">
      <c r="A27" s="29"/>
      <c r="B27" s="29"/>
      <c r="C27" s="2"/>
      <c r="D27" s="15">
        <v>55</v>
      </c>
      <c r="E27" s="2" t="s">
        <v>63</v>
      </c>
      <c r="F27" s="2"/>
      <c r="G27" s="21" t="s">
        <v>64</v>
      </c>
      <c r="H27" s="2"/>
    </row>
    <row r="28" spans="1:8">
      <c r="A28" s="29"/>
      <c r="B28" s="30"/>
      <c r="C28" s="23"/>
      <c r="D28" s="17" t="s">
        <v>65</v>
      </c>
      <c r="E28" s="23" t="s">
        <v>66</v>
      </c>
      <c r="F28" s="23"/>
      <c r="G28" s="25" t="s">
        <v>38</v>
      </c>
      <c r="H28" s="2"/>
    </row>
    <row r="29" spans="1:8">
      <c r="A29" s="29"/>
      <c r="B29" s="2"/>
      <c r="C29" s="2"/>
      <c r="D29" s="2"/>
      <c r="E29" s="2"/>
      <c r="F29" s="2"/>
      <c r="G29" s="21"/>
      <c r="H29" s="2"/>
    </row>
    <row r="30" spans="1:8">
      <c r="A30" s="29"/>
      <c r="B30" s="26" t="s">
        <v>67</v>
      </c>
      <c r="C30" s="22"/>
      <c r="D30" s="13" t="s">
        <v>68</v>
      </c>
      <c r="E30" s="13" t="s">
        <v>69</v>
      </c>
      <c r="F30" s="13"/>
      <c r="G30" s="14" t="s">
        <v>70</v>
      </c>
      <c r="H30" s="2"/>
    </row>
    <row r="31" spans="1:8">
      <c r="A31" s="29"/>
      <c r="B31" s="29"/>
      <c r="C31" s="2"/>
      <c r="D31" s="15" t="s">
        <v>71</v>
      </c>
      <c r="E31" s="15" t="s">
        <v>72</v>
      </c>
      <c r="F31" s="15"/>
      <c r="G31" s="16" t="s">
        <v>58</v>
      </c>
      <c r="H31" s="2"/>
    </row>
    <row r="32" spans="1:8" ht="28.9">
      <c r="A32" s="29"/>
      <c r="B32" s="29"/>
      <c r="C32" s="2"/>
      <c r="D32" s="15" t="s">
        <v>73</v>
      </c>
      <c r="E32" s="15" t="s">
        <v>74</v>
      </c>
      <c r="F32" s="15"/>
      <c r="G32" s="16" t="s">
        <v>75</v>
      </c>
      <c r="H32" s="2"/>
    </row>
    <row r="33" spans="1:8">
      <c r="A33" s="29"/>
      <c r="B33" s="29"/>
      <c r="C33" s="2"/>
      <c r="D33" s="15" t="s">
        <v>76</v>
      </c>
      <c r="E33" s="15" t="s">
        <v>77</v>
      </c>
      <c r="F33" s="15"/>
      <c r="G33" s="16" t="s">
        <v>42</v>
      </c>
      <c r="H33" s="2"/>
    </row>
    <row r="34" spans="1:8" ht="28.9">
      <c r="A34" s="29"/>
      <c r="B34" s="29"/>
      <c r="C34" s="2"/>
      <c r="D34" s="15" t="s">
        <v>78</v>
      </c>
      <c r="E34" s="15" t="s">
        <v>79</v>
      </c>
      <c r="F34" s="15"/>
      <c r="G34" s="16" t="s">
        <v>80</v>
      </c>
      <c r="H34" s="2"/>
    </row>
    <row r="35" spans="1:8" ht="28.9">
      <c r="A35" s="30"/>
      <c r="B35" s="30"/>
      <c r="C35" s="23"/>
      <c r="D35" s="17" t="s">
        <v>78</v>
      </c>
      <c r="E35" s="17" t="s">
        <v>81</v>
      </c>
      <c r="F35" s="17"/>
      <c r="G35" s="18" t="s">
        <v>82</v>
      </c>
      <c r="H35" s="2"/>
    </row>
    <row r="36" spans="1:8">
      <c r="A36" s="2"/>
      <c r="B36" s="2"/>
      <c r="C36" s="2"/>
      <c r="D36" s="2"/>
      <c r="E36" s="2"/>
      <c r="F36" s="2"/>
      <c r="G36" s="2"/>
      <c r="H36" s="2"/>
    </row>
    <row r="37" spans="1:8" ht="14.45" customHeight="1">
      <c r="A37" s="26" t="s">
        <v>83</v>
      </c>
      <c r="B37" s="26" t="s">
        <v>84</v>
      </c>
      <c r="C37" s="22" t="s">
        <v>85</v>
      </c>
      <c r="D37" s="20">
        <v>206</v>
      </c>
      <c r="E37" s="31" t="s">
        <v>86</v>
      </c>
      <c r="F37" s="31" t="s">
        <v>87</v>
      </c>
      <c r="G37" s="24" t="s">
        <v>88</v>
      </c>
      <c r="H37" s="2"/>
    </row>
    <row r="38" spans="1:8" ht="28.9">
      <c r="A38" s="29"/>
      <c r="B38" s="29"/>
      <c r="C38" s="2"/>
      <c r="D38" s="15" t="s">
        <v>89</v>
      </c>
      <c r="E38" s="2" t="s">
        <v>90</v>
      </c>
      <c r="F38" s="2" t="s">
        <v>87</v>
      </c>
      <c r="G38" s="21" t="s">
        <v>91</v>
      </c>
      <c r="H38" s="2"/>
    </row>
    <row r="39" spans="1:8" ht="28.9">
      <c r="A39" s="32"/>
      <c r="B39" s="29"/>
      <c r="C39" s="2"/>
      <c r="D39" s="15">
        <v>126</v>
      </c>
      <c r="E39" s="2" t="s">
        <v>92</v>
      </c>
      <c r="F39" s="2" t="s">
        <v>87</v>
      </c>
      <c r="G39" s="21" t="s">
        <v>93</v>
      </c>
      <c r="H39" s="2"/>
    </row>
    <row r="40" spans="1:8">
      <c r="A40" s="29"/>
      <c r="B40" s="29"/>
      <c r="C40" s="2"/>
      <c r="D40" s="15">
        <v>215</v>
      </c>
      <c r="E40" s="2" t="s">
        <v>94</v>
      </c>
      <c r="F40" s="2" t="s">
        <v>87</v>
      </c>
      <c r="G40" s="21" t="s">
        <v>95</v>
      </c>
      <c r="H40" s="2"/>
    </row>
    <row r="41" spans="1:8">
      <c r="A41" s="29"/>
      <c r="B41" s="29"/>
      <c r="C41" s="2"/>
      <c r="D41" s="15">
        <v>676</v>
      </c>
      <c r="E41" s="2" t="s">
        <v>96</v>
      </c>
      <c r="F41" s="2"/>
      <c r="G41" s="21" t="s">
        <v>97</v>
      </c>
      <c r="H41" s="2"/>
    </row>
    <row r="42" spans="1:8" ht="28.9">
      <c r="A42" s="29"/>
      <c r="B42" s="29"/>
      <c r="C42" s="2"/>
      <c r="D42" s="15">
        <v>592</v>
      </c>
      <c r="E42" s="2" t="s">
        <v>98</v>
      </c>
      <c r="F42" s="2" t="s">
        <v>87</v>
      </c>
      <c r="G42" s="21" t="s">
        <v>93</v>
      </c>
      <c r="H42" s="2"/>
    </row>
    <row r="43" spans="1:8">
      <c r="A43" s="29"/>
      <c r="B43" s="29"/>
      <c r="C43" s="2"/>
      <c r="D43" s="15">
        <v>843</v>
      </c>
      <c r="E43" s="2" t="s">
        <v>99</v>
      </c>
      <c r="F43" s="2" t="s">
        <v>87</v>
      </c>
      <c r="G43" s="21" t="s">
        <v>100</v>
      </c>
      <c r="H43" s="2"/>
    </row>
    <row r="44" spans="1:8" ht="28.9">
      <c r="A44" s="29"/>
      <c r="B44" s="29"/>
      <c r="C44" s="2"/>
      <c r="D44" s="15" t="s">
        <v>101</v>
      </c>
      <c r="E44" s="2" t="s">
        <v>102</v>
      </c>
      <c r="F44" s="2" t="s">
        <v>87</v>
      </c>
      <c r="G44" s="21" t="s">
        <v>103</v>
      </c>
      <c r="H44" s="2"/>
    </row>
    <row r="45" spans="1:8">
      <c r="A45" s="29"/>
      <c r="B45" s="29"/>
      <c r="C45" s="2"/>
      <c r="D45" s="15">
        <v>817</v>
      </c>
      <c r="E45" s="2" t="s">
        <v>104</v>
      </c>
      <c r="F45" s="2" t="s">
        <v>87</v>
      </c>
      <c r="G45" s="21" t="s">
        <v>100</v>
      </c>
      <c r="H45" s="2"/>
    </row>
    <row r="46" spans="1:8">
      <c r="A46" s="29"/>
      <c r="B46" s="29"/>
      <c r="C46" s="2"/>
      <c r="D46" s="15">
        <v>628</v>
      </c>
      <c r="E46" s="2" t="s">
        <v>105</v>
      </c>
      <c r="F46" s="2" t="s">
        <v>87</v>
      </c>
      <c r="G46" s="21" t="s">
        <v>88</v>
      </c>
      <c r="H46" s="2"/>
    </row>
    <row r="47" spans="1:8">
      <c r="A47" s="29"/>
      <c r="B47" s="30"/>
      <c r="C47" s="23"/>
      <c r="D47" s="17">
        <v>843</v>
      </c>
      <c r="E47" s="23" t="s">
        <v>106</v>
      </c>
      <c r="F47" s="23" t="s">
        <v>87</v>
      </c>
      <c r="G47" s="25" t="s">
        <v>97</v>
      </c>
      <c r="H47" s="2"/>
    </row>
    <row r="48" spans="1:8">
      <c r="A48" s="29"/>
      <c r="B48" s="2"/>
      <c r="C48" s="2"/>
      <c r="D48" s="2"/>
      <c r="E48" s="2"/>
      <c r="F48" s="2"/>
      <c r="G48" s="21"/>
      <c r="H48" s="2"/>
    </row>
    <row r="49" spans="1:8">
      <c r="A49" s="29"/>
      <c r="B49" s="26" t="s">
        <v>107</v>
      </c>
      <c r="C49" s="22"/>
      <c r="D49" s="22" t="s">
        <v>108</v>
      </c>
      <c r="E49" s="22" t="s">
        <v>109</v>
      </c>
      <c r="F49" s="22"/>
      <c r="G49" s="24" t="s">
        <v>110</v>
      </c>
      <c r="H49" s="2"/>
    </row>
    <row r="50" spans="1:8">
      <c r="A50" s="29"/>
      <c r="B50" s="29"/>
      <c r="C50" s="2"/>
      <c r="D50" s="2" t="s">
        <v>111</v>
      </c>
      <c r="E50" s="2" t="s">
        <v>112</v>
      </c>
      <c r="F50" s="2"/>
      <c r="G50" s="21" t="s">
        <v>110</v>
      </c>
      <c r="H50" s="2"/>
    </row>
    <row r="51" spans="1:8">
      <c r="A51" s="29"/>
      <c r="B51" s="29"/>
      <c r="C51" s="2"/>
      <c r="D51" s="2" t="s">
        <v>113</v>
      </c>
      <c r="E51" s="2" t="s">
        <v>114</v>
      </c>
      <c r="F51" s="2"/>
      <c r="G51" s="21" t="s">
        <v>115</v>
      </c>
      <c r="H51" s="2"/>
    </row>
    <row r="52" spans="1:8">
      <c r="A52" s="29"/>
      <c r="B52" s="29"/>
      <c r="C52" s="2"/>
      <c r="D52" s="2" t="s">
        <v>116</v>
      </c>
      <c r="E52" s="2" t="s">
        <v>117</v>
      </c>
      <c r="F52" s="2"/>
      <c r="G52" s="21" t="s">
        <v>118</v>
      </c>
      <c r="H52" s="2"/>
    </row>
    <row r="53" spans="1:8">
      <c r="A53" s="29"/>
      <c r="B53" s="29"/>
      <c r="C53" s="2"/>
      <c r="D53" s="2" t="s">
        <v>119</v>
      </c>
      <c r="E53" s="2" t="s">
        <v>120</v>
      </c>
      <c r="F53" s="2"/>
      <c r="G53" s="21" t="s">
        <v>121</v>
      </c>
      <c r="H53" s="2"/>
    </row>
    <row r="54" spans="1:8">
      <c r="A54" s="29"/>
      <c r="B54" s="29"/>
      <c r="C54" s="2"/>
      <c r="D54" s="2" t="s">
        <v>122</v>
      </c>
      <c r="E54" s="2" t="s">
        <v>123</v>
      </c>
      <c r="F54" s="2"/>
      <c r="G54" s="21" t="s">
        <v>118</v>
      </c>
      <c r="H54" s="2"/>
    </row>
    <row r="55" spans="1:8">
      <c r="A55" s="29"/>
      <c r="B55" s="30"/>
      <c r="C55" s="23"/>
      <c r="D55" s="23" t="s">
        <v>124</v>
      </c>
      <c r="E55" s="23" t="s">
        <v>125</v>
      </c>
      <c r="F55" s="23"/>
      <c r="G55" s="25" t="s">
        <v>118</v>
      </c>
      <c r="H55" s="2"/>
    </row>
    <row r="56" spans="1:8">
      <c r="A56" s="29"/>
      <c r="B56" s="2"/>
      <c r="C56" s="2"/>
      <c r="D56" s="15"/>
      <c r="E56" s="2"/>
      <c r="F56" s="2"/>
      <c r="G56" s="21"/>
      <c r="H56" s="2"/>
    </row>
    <row r="57" spans="1:8">
      <c r="A57" s="29"/>
      <c r="B57" s="33" t="s">
        <v>126</v>
      </c>
      <c r="C57" s="34" t="s">
        <v>127</v>
      </c>
      <c r="D57" s="20">
        <v>18</v>
      </c>
      <c r="E57" s="20" t="s">
        <v>128</v>
      </c>
      <c r="F57" s="20" t="s">
        <v>87</v>
      </c>
      <c r="G57" s="24" t="s">
        <v>88</v>
      </c>
      <c r="H57" s="2"/>
    </row>
    <row r="58" spans="1:8">
      <c r="A58" s="29"/>
      <c r="B58" s="32"/>
      <c r="C58" s="27"/>
      <c r="D58" s="15">
        <v>19</v>
      </c>
      <c r="E58" s="15" t="s">
        <v>129</v>
      </c>
      <c r="F58" s="15" t="s">
        <v>87</v>
      </c>
      <c r="G58" s="21" t="s">
        <v>95</v>
      </c>
      <c r="H58" s="2"/>
    </row>
    <row r="59" spans="1:8">
      <c r="A59" s="29"/>
      <c r="B59" s="32"/>
      <c r="C59" s="27"/>
      <c r="D59" s="15">
        <v>22</v>
      </c>
      <c r="E59" s="15" t="s">
        <v>130</v>
      </c>
      <c r="F59" s="15" t="s">
        <v>87</v>
      </c>
      <c r="G59" s="16" t="s">
        <v>131</v>
      </c>
      <c r="H59" s="2"/>
    </row>
    <row r="60" spans="1:8" ht="28.9">
      <c r="A60" s="29"/>
      <c r="B60" s="32"/>
      <c r="C60" s="27"/>
      <c r="D60" s="15" t="s">
        <v>132</v>
      </c>
      <c r="E60" s="15" t="s">
        <v>133</v>
      </c>
      <c r="F60" s="15" t="s">
        <v>87</v>
      </c>
      <c r="G60" s="21" t="s">
        <v>134</v>
      </c>
      <c r="H60" s="2"/>
    </row>
    <row r="61" spans="1:8">
      <c r="A61" s="29"/>
      <c r="B61" s="32"/>
      <c r="C61" s="27"/>
      <c r="D61" s="15">
        <v>31</v>
      </c>
      <c r="E61" s="15" t="s">
        <v>135</v>
      </c>
      <c r="F61" s="15" t="s">
        <v>87</v>
      </c>
      <c r="G61" s="21" t="s">
        <v>136</v>
      </c>
      <c r="H61" s="2"/>
    </row>
    <row r="62" spans="1:8">
      <c r="A62" s="30"/>
      <c r="B62" s="35"/>
      <c r="C62" s="36"/>
      <c r="D62" s="17">
        <v>32</v>
      </c>
      <c r="E62" s="17" t="s">
        <v>137</v>
      </c>
      <c r="F62" s="17"/>
      <c r="G62" s="18" t="s">
        <v>138</v>
      </c>
      <c r="H62" s="2"/>
    </row>
    <row r="63" spans="1:8">
      <c r="A63" s="2"/>
      <c r="B63" s="27"/>
      <c r="C63" s="27"/>
      <c r="D63" s="27"/>
      <c r="E63" s="27"/>
      <c r="F63" s="27"/>
      <c r="G63" s="27"/>
      <c r="H63" s="2"/>
    </row>
    <row r="64" spans="1:8">
      <c r="A64" s="26" t="s">
        <v>139</v>
      </c>
      <c r="B64" s="33" t="s">
        <v>140</v>
      </c>
      <c r="C64" s="34" t="s">
        <v>141</v>
      </c>
      <c r="D64" s="37" t="s">
        <v>142</v>
      </c>
      <c r="E64" s="37" t="s">
        <v>143</v>
      </c>
      <c r="F64" s="34"/>
      <c r="G64" s="38" t="s">
        <v>144</v>
      </c>
      <c r="H64" s="2"/>
    </row>
    <row r="65" spans="1:8">
      <c r="A65" s="29"/>
      <c r="B65" s="29"/>
      <c r="C65" s="2"/>
      <c r="D65" s="15">
        <v>21</v>
      </c>
      <c r="E65" s="15" t="s">
        <v>145</v>
      </c>
      <c r="F65" s="2" t="s">
        <v>87</v>
      </c>
      <c r="G65" s="21" t="s">
        <v>146</v>
      </c>
      <c r="H65" s="2"/>
    </row>
    <row r="66" spans="1:8">
      <c r="A66" s="29"/>
      <c r="B66" s="29"/>
      <c r="C66" s="2"/>
      <c r="D66" s="15" t="s">
        <v>147</v>
      </c>
      <c r="E66" s="15" t="s">
        <v>148</v>
      </c>
      <c r="F66" s="2" t="s">
        <v>87</v>
      </c>
      <c r="G66" s="21" t="s">
        <v>149</v>
      </c>
      <c r="H66" s="2"/>
    </row>
    <row r="67" spans="1:8">
      <c r="A67" s="29"/>
      <c r="B67" s="29"/>
      <c r="C67" s="2"/>
      <c r="D67" s="15">
        <v>46</v>
      </c>
      <c r="E67" s="15" t="s">
        <v>150</v>
      </c>
      <c r="F67" s="2" t="s">
        <v>87</v>
      </c>
      <c r="G67" s="39" t="s">
        <v>151</v>
      </c>
      <c r="H67" s="2"/>
    </row>
    <row r="68" spans="1:8">
      <c r="A68" s="29"/>
      <c r="B68" s="29"/>
      <c r="C68" s="2"/>
      <c r="D68" s="40">
        <v>61</v>
      </c>
      <c r="E68" s="40" t="s">
        <v>152</v>
      </c>
      <c r="F68" s="41" t="s">
        <v>87</v>
      </c>
      <c r="G68" s="39" t="s">
        <v>151</v>
      </c>
      <c r="H68" s="2"/>
    </row>
    <row r="69" spans="1:8">
      <c r="A69" s="29"/>
      <c r="B69" s="29"/>
      <c r="C69" s="2"/>
      <c r="D69" s="15" t="s">
        <v>153</v>
      </c>
      <c r="E69" s="15" t="s">
        <v>154</v>
      </c>
      <c r="F69" s="2" t="s">
        <v>87</v>
      </c>
      <c r="G69" s="21" t="s">
        <v>155</v>
      </c>
      <c r="H69" s="2"/>
    </row>
    <row r="70" spans="1:8">
      <c r="A70" s="29"/>
      <c r="B70" s="29"/>
      <c r="C70" s="2"/>
      <c r="D70" s="15">
        <v>79</v>
      </c>
      <c r="E70" s="15" t="s">
        <v>156</v>
      </c>
      <c r="F70" s="2" t="s">
        <v>87</v>
      </c>
      <c r="G70" s="39" t="s">
        <v>157</v>
      </c>
      <c r="H70" s="2"/>
    </row>
    <row r="71" spans="1:8">
      <c r="A71" s="29"/>
      <c r="B71" s="29"/>
      <c r="C71" s="2"/>
      <c r="D71" s="15">
        <v>92</v>
      </c>
      <c r="E71" s="15" t="s">
        <v>158</v>
      </c>
      <c r="F71" s="2"/>
      <c r="G71" s="39" t="s">
        <v>157</v>
      </c>
      <c r="H71" s="2"/>
    </row>
    <row r="72" spans="1:8">
      <c r="A72" s="29"/>
      <c r="B72" s="30"/>
      <c r="C72" s="23"/>
      <c r="D72" s="17" t="s">
        <v>159</v>
      </c>
      <c r="E72" s="17" t="s">
        <v>160</v>
      </c>
      <c r="F72" s="23"/>
      <c r="G72" s="25" t="s">
        <v>161</v>
      </c>
      <c r="H72" s="2"/>
    </row>
    <row r="73" spans="1:8">
      <c r="A73" s="29"/>
      <c r="B73" s="2"/>
      <c r="C73" s="2"/>
      <c r="D73" s="2"/>
      <c r="E73" s="2"/>
      <c r="F73" s="2"/>
      <c r="G73" s="21"/>
      <c r="H73" s="2"/>
    </row>
    <row r="74" spans="1:8">
      <c r="A74" s="29"/>
      <c r="B74" s="26" t="s">
        <v>162</v>
      </c>
      <c r="C74" s="22" t="s">
        <v>163</v>
      </c>
      <c r="D74" s="13" t="s">
        <v>164</v>
      </c>
      <c r="E74" s="22" t="s">
        <v>165</v>
      </c>
      <c r="F74" s="22"/>
      <c r="G74" s="38" t="s">
        <v>151</v>
      </c>
      <c r="H74" s="2"/>
    </row>
    <row r="75" spans="1:8">
      <c r="A75" s="29"/>
      <c r="B75" s="29"/>
      <c r="C75" s="2"/>
      <c r="D75" s="15" t="s">
        <v>166</v>
      </c>
      <c r="E75" s="2" t="s">
        <v>167</v>
      </c>
      <c r="F75" s="2"/>
      <c r="G75" s="39" t="s">
        <v>151</v>
      </c>
      <c r="H75" s="2"/>
    </row>
    <row r="76" spans="1:8">
      <c r="A76" s="29"/>
      <c r="B76" s="29"/>
      <c r="C76" s="2"/>
      <c r="D76" s="15">
        <v>356</v>
      </c>
      <c r="E76" s="2" t="s">
        <v>168</v>
      </c>
      <c r="F76" s="2"/>
      <c r="G76" s="39" t="s">
        <v>151</v>
      </c>
      <c r="H76" s="2"/>
    </row>
    <row r="77" spans="1:8">
      <c r="A77" s="29"/>
      <c r="B77" s="29"/>
      <c r="C77" s="2"/>
      <c r="D77" s="15" t="s">
        <v>169</v>
      </c>
      <c r="E77" s="2" t="s">
        <v>170</v>
      </c>
      <c r="F77" s="2"/>
      <c r="G77" s="21" t="s">
        <v>171</v>
      </c>
      <c r="H77" s="2"/>
    </row>
    <row r="78" spans="1:8">
      <c r="A78" s="29"/>
      <c r="B78" s="29"/>
      <c r="C78" s="2"/>
      <c r="D78" s="15">
        <v>140</v>
      </c>
      <c r="E78" s="2" t="s">
        <v>172</v>
      </c>
      <c r="F78" s="2"/>
      <c r="G78" s="21" t="s">
        <v>161</v>
      </c>
      <c r="H78" s="2"/>
    </row>
    <row r="79" spans="1:8">
      <c r="A79" s="29"/>
      <c r="B79" s="29"/>
      <c r="C79" s="2"/>
      <c r="D79" s="15" t="s">
        <v>164</v>
      </c>
      <c r="E79" s="2" t="s">
        <v>173</v>
      </c>
      <c r="F79" s="2"/>
      <c r="G79" s="21" t="s">
        <v>155</v>
      </c>
      <c r="H79" s="2"/>
    </row>
    <row r="80" spans="1:8" ht="28.9">
      <c r="A80" s="29"/>
      <c r="B80" s="30"/>
      <c r="C80" s="23"/>
      <c r="D80" s="17" t="s">
        <v>174</v>
      </c>
      <c r="E80" s="23" t="s">
        <v>175</v>
      </c>
      <c r="F80" s="23"/>
      <c r="G80" s="18" t="s">
        <v>176</v>
      </c>
      <c r="H80" s="2"/>
    </row>
    <row r="81" spans="1:8">
      <c r="A81" s="29"/>
      <c r="B81" s="2"/>
      <c r="C81" s="2"/>
      <c r="D81" s="2"/>
      <c r="E81" s="2"/>
      <c r="F81" s="2"/>
      <c r="G81" s="21"/>
      <c r="H81" s="2"/>
    </row>
    <row r="82" spans="1:8">
      <c r="A82" s="29"/>
      <c r="B82" s="26" t="s">
        <v>177</v>
      </c>
      <c r="C82" s="22"/>
      <c r="D82" s="13" t="s">
        <v>178</v>
      </c>
      <c r="E82" s="22" t="s">
        <v>179</v>
      </c>
      <c r="F82" s="22"/>
      <c r="G82" s="24" t="s">
        <v>180</v>
      </c>
      <c r="H82" s="2"/>
    </row>
    <row r="83" spans="1:8">
      <c r="A83" s="29"/>
      <c r="B83" s="29"/>
      <c r="C83" s="2"/>
      <c r="D83" s="15" t="s">
        <v>181</v>
      </c>
      <c r="E83" s="2" t="s">
        <v>182</v>
      </c>
      <c r="F83" s="2"/>
      <c r="G83" s="21" t="s">
        <v>183</v>
      </c>
      <c r="H83" s="2"/>
    </row>
    <row r="84" spans="1:8">
      <c r="A84" s="29"/>
      <c r="B84" s="29"/>
      <c r="C84" s="2"/>
      <c r="D84" s="15">
        <v>186</v>
      </c>
      <c r="E84" s="2" t="s">
        <v>184</v>
      </c>
      <c r="F84" s="2"/>
      <c r="G84" s="21" t="s">
        <v>185</v>
      </c>
      <c r="H84" s="2"/>
    </row>
    <row r="85" spans="1:8">
      <c r="A85" s="29"/>
      <c r="B85" s="29"/>
      <c r="C85" s="2"/>
      <c r="D85" s="15" t="s">
        <v>186</v>
      </c>
      <c r="E85" s="2" t="s">
        <v>187</v>
      </c>
      <c r="F85" s="2"/>
      <c r="G85" s="21" t="s">
        <v>188</v>
      </c>
      <c r="H85" s="2"/>
    </row>
    <row r="86" spans="1:8">
      <c r="A86" s="29"/>
      <c r="B86" s="29"/>
      <c r="C86" s="2"/>
      <c r="D86" s="15" t="s">
        <v>189</v>
      </c>
      <c r="E86" s="2" t="s">
        <v>190</v>
      </c>
      <c r="F86" s="2"/>
      <c r="G86" s="21" t="s">
        <v>191</v>
      </c>
      <c r="H86" s="2"/>
    </row>
    <row r="87" spans="1:8">
      <c r="A87" s="29"/>
      <c r="B87" s="29"/>
      <c r="C87" s="2"/>
      <c r="D87" s="15" t="s">
        <v>192</v>
      </c>
      <c r="E87" s="2" t="s">
        <v>193</v>
      </c>
      <c r="F87" s="2"/>
      <c r="G87" s="21" t="s">
        <v>188</v>
      </c>
      <c r="H87" s="2"/>
    </row>
    <row r="88" spans="1:8">
      <c r="A88" s="29"/>
      <c r="B88" s="29"/>
      <c r="C88" s="2"/>
      <c r="D88" s="15">
        <v>23</v>
      </c>
      <c r="E88" s="2" t="s">
        <v>194</v>
      </c>
      <c r="F88" s="2"/>
      <c r="G88" s="21" t="s">
        <v>188</v>
      </c>
      <c r="H88" s="2"/>
    </row>
    <row r="89" spans="1:8">
      <c r="A89" s="29"/>
      <c r="B89" s="29"/>
      <c r="C89" s="2"/>
      <c r="D89" s="15">
        <v>244</v>
      </c>
      <c r="E89" s="2" t="s">
        <v>195</v>
      </c>
      <c r="F89" s="2"/>
      <c r="G89" s="21" t="s">
        <v>180</v>
      </c>
      <c r="H89" s="2"/>
    </row>
    <row r="90" spans="1:8">
      <c r="A90" s="29"/>
      <c r="B90" s="29"/>
      <c r="C90" s="2"/>
      <c r="D90" s="15" t="s">
        <v>196</v>
      </c>
      <c r="E90" s="2" t="s">
        <v>197</v>
      </c>
      <c r="F90" s="2"/>
      <c r="G90" s="21" t="s">
        <v>198</v>
      </c>
      <c r="H90" s="2"/>
    </row>
    <row r="91" spans="1:8">
      <c r="A91" s="30"/>
      <c r="B91" s="30"/>
      <c r="C91" s="23"/>
      <c r="D91" s="17" t="s">
        <v>199</v>
      </c>
      <c r="E91" s="23" t="s">
        <v>104</v>
      </c>
      <c r="F91" s="23"/>
      <c r="G91" s="25" t="s">
        <v>191</v>
      </c>
      <c r="H91" s="2"/>
    </row>
    <row r="92" spans="1:8">
      <c r="A92" s="2"/>
      <c r="B92" s="2"/>
      <c r="C92" s="2"/>
      <c r="D92" s="2"/>
      <c r="E92" s="2"/>
      <c r="F92" s="2"/>
      <c r="G92" s="2"/>
      <c r="H92" s="2"/>
    </row>
    <row r="93" spans="1:8">
      <c r="A93" s="26" t="s">
        <v>200</v>
      </c>
      <c r="B93" s="26" t="s">
        <v>201</v>
      </c>
      <c r="C93" s="22"/>
      <c r="D93" s="13">
        <v>218</v>
      </c>
      <c r="E93" s="22" t="s">
        <v>202</v>
      </c>
      <c r="F93" s="22"/>
      <c r="G93" s="24" t="s">
        <v>146</v>
      </c>
      <c r="H93" s="2"/>
    </row>
    <row r="94" spans="1:8" ht="28.9">
      <c r="A94" s="29"/>
      <c r="B94" s="29"/>
      <c r="C94" s="2"/>
      <c r="D94" s="15" t="s">
        <v>203</v>
      </c>
      <c r="E94" s="2" t="s">
        <v>204</v>
      </c>
      <c r="F94" s="2"/>
      <c r="G94" s="21" t="s">
        <v>205</v>
      </c>
      <c r="H94" s="2"/>
    </row>
    <row r="95" spans="1:8">
      <c r="A95" s="29"/>
      <c r="B95" s="29"/>
      <c r="C95" s="2"/>
      <c r="D95" s="15" t="s">
        <v>206</v>
      </c>
      <c r="E95" s="2" t="s">
        <v>207</v>
      </c>
      <c r="F95" s="2"/>
      <c r="G95" s="21" t="s">
        <v>155</v>
      </c>
      <c r="H95" s="2"/>
    </row>
    <row r="96" spans="1:8">
      <c r="A96" s="29"/>
      <c r="B96" s="29"/>
      <c r="C96" s="2"/>
      <c r="D96" s="15" t="s">
        <v>208</v>
      </c>
      <c r="E96" s="2" t="s">
        <v>209</v>
      </c>
      <c r="F96" s="2"/>
      <c r="G96" s="16" t="s">
        <v>131</v>
      </c>
      <c r="H96" s="2"/>
    </row>
    <row r="97" spans="1:8">
      <c r="A97" s="29"/>
      <c r="B97" s="29"/>
      <c r="C97" s="2"/>
      <c r="D97" s="15" t="s">
        <v>210</v>
      </c>
      <c r="E97" s="2" t="s">
        <v>211</v>
      </c>
      <c r="F97" s="2"/>
      <c r="G97" s="21" t="s">
        <v>38</v>
      </c>
      <c r="H97" s="2"/>
    </row>
    <row r="98" spans="1:8">
      <c r="A98" s="29"/>
      <c r="B98" s="29"/>
      <c r="C98" s="2"/>
      <c r="D98" s="15" t="s">
        <v>212</v>
      </c>
      <c r="E98" s="2" t="s">
        <v>213</v>
      </c>
      <c r="F98" s="2"/>
      <c r="G98" s="39" t="s">
        <v>38</v>
      </c>
      <c r="H98" s="2"/>
    </row>
    <row r="99" spans="1:8">
      <c r="A99" s="29"/>
      <c r="B99" s="29"/>
      <c r="C99" s="2"/>
      <c r="D99" s="15">
        <v>248</v>
      </c>
      <c r="E99" s="2" t="s">
        <v>214</v>
      </c>
      <c r="F99" s="2"/>
      <c r="G99" s="21" t="s">
        <v>161</v>
      </c>
      <c r="H99" s="2"/>
    </row>
    <row r="100" spans="1:8">
      <c r="A100" s="29"/>
      <c r="B100" s="29"/>
      <c r="C100" s="2"/>
      <c r="D100" s="15" t="s">
        <v>215</v>
      </c>
      <c r="E100" s="2" t="s">
        <v>216</v>
      </c>
      <c r="F100" s="2"/>
      <c r="G100" s="21" t="s">
        <v>217</v>
      </c>
      <c r="H100" s="2"/>
    </row>
    <row r="101" spans="1:8">
      <c r="A101" s="29"/>
      <c r="B101" s="30"/>
      <c r="C101" s="23"/>
      <c r="D101" s="17" t="s">
        <v>218</v>
      </c>
      <c r="E101" s="23" t="s">
        <v>219</v>
      </c>
      <c r="F101" s="23"/>
      <c r="G101" s="25"/>
      <c r="H101" s="2"/>
    </row>
    <row r="102" spans="1:8">
      <c r="A102" s="29"/>
      <c r="B102" s="2"/>
      <c r="C102" s="2"/>
      <c r="D102" s="2"/>
      <c r="E102" s="2"/>
      <c r="F102" s="2"/>
      <c r="G102" s="21"/>
      <c r="H102" s="2"/>
    </row>
    <row r="103" spans="1:8" ht="28.9">
      <c r="A103" s="29"/>
      <c r="B103" s="26" t="s">
        <v>220</v>
      </c>
      <c r="C103" s="22"/>
      <c r="D103" s="13" t="s">
        <v>221</v>
      </c>
      <c r="E103" s="13" t="s">
        <v>222</v>
      </c>
      <c r="F103" s="13"/>
      <c r="G103" s="14" t="s">
        <v>223</v>
      </c>
      <c r="H103" s="2"/>
    </row>
    <row r="104" spans="1:8">
      <c r="A104" s="29"/>
      <c r="B104" s="29"/>
      <c r="C104" s="2"/>
      <c r="D104" s="15" t="s">
        <v>224</v>
      </c>
      <c r="E104" s="15" t="s">
        <v>225</v>
      </c>
      <c r="F104" s="15"/>
      <c r="G104" s="16" t="s">
        <v>149</v>
      </c>
      <c r="H104" s="2"/>
    </row>
    <row r="105" spans="1:8">
      <c r="A105" s="29"/>
      <c r="B105" s="29"/>
      <c r="C105" s="2"/>
      <c r="D105" s="15" t="s">
        <v>226</v>
      </c>
      <c r="E105" s="15" t="s">
        <v>227</v>
      </c>
      <c r="F105" s="15"/>
      <c r="G105" s="16" t="s">
        <v>228</v>
      </c>
      <c r="H105" s="2"/>
    </row>
    <row r="106" spans="1:8">
      <c r="A106" s="29"/>
      <c r="B106" s="29"/>
      <c r="C106" s="2"/>
      <c r="D106" s="15">
        <v>115</v>
      </c>
      <c r="E106" s="15" t="s">
        <v>229</v>
      </c>
      <c r="F106" s="15"/>
      <c r="G106" s="16" t="s">
        <v>157</v>
      </c>
      <c r="H106" s="2"/>
    </row>
    <row r="107" spans="1:8">
      <c r="A107" s="29"/>
      <c r="B107" s="29"/>
      <c r="C107" s="2"/>
      <c r="D107" s="15">
        <v>115</v>
      </c>
      <c r="E107" s="15" t="s">
        <v>230</v>
      </c>
      <c r="F107" s="15"/>
      <c r="G107" s="16" t="s">
        <v>231</v>
      </c>
      <c r="H107" s="2"/>
    </row>
    <row r="108" spans="1:8">
      <c r="A108" s="29"/>
      <c r="B108" s="30"/>
      <c r="C108" s="23"/>
      <c r="D108" s="17" t="s">
        <v>232</v>
      </c>
      <c r="E108" s="17" t="s">
        <v>233</v>
      </c>
      <c r="F108" s="17"/>
      <c r="G108" s="18" t="s">
        <v>234</v>
      </c>
      <c r="H108" s="2"/>
    </row>
    <row r="109" spans="1:8">
      <c r="A109" s="29"/>
      <c r="B109" s="2"/>
      <c r="C109" s="2"/>
      <c r="D109" s="15"/>
      <c r="E109" s="15"/>
      <c r="F109" s="15"/>
      <c r="G109" s="16"/>
      <c r="H109" s="2"/>
    </row>
    <row r="110" spans="1:8">
      <c r="A110" s="29"/>
      <c r="B110" s="26" t="s">
        <v>235</v>
      </c>
      <c r="C110" s="22"/>
      <c r="D110" s="22" t="s">
        <v>192</v>
      </c>
      <c r="E110" s="22" t="s">
        <v>236</v>
      </c>
      <c r="F110" s="22"/>
      <c r="G110" s="24" t="s">
        <v>231</v>
      </c>
      <c r="H110" s="2"/>
    </row>
    <row r="111" spans="1:8">
      <c r="A111" s="29"/>
      <c r="B111" s="29"/>
      <c r="C111" s="2"/>
      <c r="D111" s="2" t="s">
        <v>237</v>
      </c>
      <c r="E111" s="2" t="s">
        <v>238</v>
      </c>
      <c r="F111" s="2"/>
      <c r="G111" s="21" t="s">
        <v>157</v>
      </c>
      <c r="H111" s="2"/>
    </row>
    <row r="112" spans="1:8">
      <c r="A112" s="29"/>
      <c r="B112" s="29"/>
      <c r="C112" s="2"/>
      <c r="D112" s="2" t="s">
        <v>239</v>
      </c>
      <c r="E112" s="2" t="s">
        <v>240</v>
      </c>
      <c r="F112" s="2"/>
      <c r="G112" s="21" t="s">
        <v>149</v>
      </c>
      <c r="H112" s="2"/>
    </row>
    <row r="113" spans="1:8">
      <c r="A113" s="29"/>
      <c r="B113" s="29"/>
      <c r="C113" s="2"/>
      <c r="D113" s="42" t="s">
        <v>241</v>
      </c>
      <c r="E113" s="2" t="s">
        <v>242</v>
      </c>
      <c r="F113" s="2"/>
      <c r="G113" s="21" t="s">
        <v>171</v>
      </c>
      <c r="H113" s="2"/>
    </row>
    <row r="114" spans="1:8">
      <c r="A114" s="29"/>
      <c r="B114" s="29"/>
      <c r="C114" s="2"/>
      <c r="D114" s="2" t="s">
        <v>243</v>
      </c>
      <c r="E114" s="2" t="s">
        <v>244</v>
      </c>
      <c r="F114" s="2"/>
      <c r="G114" s="21" t="s">
        <v>144</v>
      </c>
      <c r="H114" s="2"/>
    </row>
    <row r="115" spans="1:8">
      <c r="A115" s="30"/>
      <c r="B115" s="30"/>
      <c r="C115" s="23"/>
      <c r="D115" s="23" t="s">
        <v>245</v>
      </c>
      <c r="E115" s="23" t="s">
        <v>246</v>
      </c>
      <c r="F115" s="23"/>
      <c r="G115" s="25" t="s">
        <v>228</v>
      </c>
      <c r="H115" s="2"/>
    </row>
    <row r="116" spans="1:8">
      <c r="A116" s="2"/>
      <c r="B116" s="2"/>
      <c r="C116" s="2"/>
      <c r="D116" s="2"/>
      <c r="E116" s="2"/>
      <c r="F116" s="2"/>
      <c r="G116" s="2"/>
      <c r="H116" s="2"/>
    </row>
    <row r="117" spans="1:8">
      <c r="A117" s="26" t="s">
        <v>247</v>
      </c>
      <c r="B117" s="26" t="s">
        <v>248</v>
      </c>
      <c r="C117" s="22"/>
      <c r="D117" s="13">
        <v>7</v>
      </c>
      <c r="E117" s="22" t="s">
        <v>249</v>
      </c>
      <c r="F117" s="22"/>
      <c r="G117" s="24" t="s">
        <v>250</v>
      </c>
      <c r="H117" s="2"/>
    </row>
    <row r="118" spans="1:8">
      <c r="A118" s="29"/>
      <c r="B118" s="29"/>
      <c r="C118" s="2"/>
      <c r="D118" s="15">
        <v>10</v>
      </c>
      <c r="E118" s="2" t="s">
        <v>251</v>
      </c>
      <c r="F118" s="2"/>
      <c r="G118" s="21" t="s">
        <v>8</v>
      </c>
      <c r="H118" s="2"/>
    </row>
    <row r="119" spans="1:8">
      <c r="A119" s="29"/>
      <c r="B119" s="29"/>
      <c r="C119" s="2"/>
      <c r="D119" s="15" t="s">
        <v>252</v>
      </c>
      <c r="E119" s="2" t="s">
        <v>253</v>
      </c>
      <c r="F119" s="2"/>
      <c r="G119" s="21" t="s">
        <v>254</v>
      </c>
      <c r="H119" s="2"/>
    </row>
    <row r="120" spans="1:8">
      <c r="A120" s="29"/>
      <c r="B120" s="30"/>
      <c r="C120" s="23"/>
      <c r="D120" s="17" t="s">
        <v>255</v>
      </c>
      <c r="E120" s="23" t="s">
        <v>256</v>
      </c>
      <c r="F120" s="23"/>
      <c r="G120" s="25" t="s">
        <v>257</v>
      </c>
      <c r="H120" s="2"/>
    </row>
    <row r="121" spans="1:8">
      <c r="A121" s="29"/>
      <c r="B121" s="2"/>
      <c r="C121" s="2"/>
      <c r="D121" s="2"/>
      <c r="E121" s="2"/>
      <c r="F121" s="2"/>
      <c r="G121" s="21"/>
      <c r="H121" s="2"/>
    </row>
    <row r="122" spans="1:8">
      <c r="A122" s="29"/>
      <c r="B122" s="26" t="s">
        <v>258</v>
      </c>
      <c r="C122" s="22"/>
      <c r="D122" s="43" t="s">
        <v>259</v>
      </c>
      <c r="E122" s="22" t="s">
        <v>260</v>
      </c>
      <c r="F122" s="22"/>
      <c r="G122" s="24" t="s">
        <v>261</v>
      </c>
      <c r="H122" s="2"/>
    </row>
    <row r="123" spans="1:8">
      <c r="A123" s="29"/>
      <c r="B123" s="29"/>
      <c r="C123" s="2"/>
      <c r="D123" s="15" t="s">
        <v>262</v>
      </c>
      <c r="E123" s="2" t="s">
        <v>263</v>
      </c>
      <c r="F123" s="2"/>
      <c r="G123" s="21" t="s">
        <v>264</v>
      </c>
      <c r="H123" s="2"/>
    </row>
    <row r="124" spans="1:8">
      <c r="A124" s="29"/>
      <c r="B124" s="29"/>
      <c r="C124" s="2"/>
      <c r="D124" s="15">
        <v>34</v>
      </c>
      <c r="E124" s="2" t="s">
        <v>265</v>
      </c>
      <c r="F124" s="2"/>
      <c r="G124" s="21" t="s">
        <v>40</v>
      </c>
      <c r="H124" s="2"/>
    </row>
    <row r="125" spans="1:8">
      <c r="A125" s="29"/>
      <c r="B125" s="29"/>
      <c r="C125" s="2"/>
      <c r="D125" s="15" t="s">
        <v>266</v>
      </c>
      <c r="E125" s="2" t="s">
        <v>267</v>
      </c>
      <c r="F125" s="2"/>
      <c r="G125" s="21" t="s">
        <v>58</v>
      </c>
      <c r="H125" s="2"/>
    </row>
    <row r="126" spans="1:8">
      <c r="A126" s="29"/>
      <c r="B126" s="29"/>
      <c r="C126" s="2"/>
      <c r="D126" s="15" t="s">
        <v>268</v>
      </c>
      <c r="E126" s="2" t="s">
        <v>269</v>
      </c>
      <c r="F126" s="2"/>
      <c r="G126" s="21" t="s">
        <v>42</v>
      </c>
      <c r="H126" s="2"/>
    </row>
    <row r="127" spans="1:8">
      <c r="A127" s="29"/>
      <c r="B127" s="29"/>
      <c r="C127" s="2"/>
      <c r="D127" s="15">
        <v>26</v>
      </c>
      <c r="E127" s="2" t="s">
        <v>270</v>
      </c>
      <c r="F127" s="2"/>
      <c r="G127" s="21" t="s">
        <v>70</v>
      </c>
      <c r="H127" s="2"/>
    </row>
    <row r="128" spans="1:8">
      <c r="A128" s="29"/>
      <c r="B128" s="30"/>
      <c r="C128" s="23"/>
      <c r="D128" s="17" t="s">
        <v>271</v>
      </c>
      <c r="E128" s="23" t="s">
        <v>272</v>
      </c>
      <c r="F128" s="23"/>
      <c r="G128" s="25" t="s">
        <v>273</v>
      </c>
      <c r="H128" s="2"/>
    </row>
    <row r="129" spans="1:8">
      <c r="A129" s="29"/>
      <c r="B129" s="2"/>
      <c r="C129" s="2"/>
      <c r="D129" s="2"/>
      <c r="E129" s="2"/>
      <c r="F129" s="2"/>
      <c r="G129" s="21"/>
      <c r="H129" s="2"/>
    </row>
    <row r="130" spans="1:8" ht="28.9">
      <c r="A130" s="29"/>
      <c r="B130" s="26" t="s">
        <v>274</v>
      </c>
      <c r="C130" s="22"/>
      <c r="D130" s="22" t="s">
        <v>275</v>
      </c>
      <c r="E130" s="34" t="s">
        <v>276</v>
      </c>
      <c r="F130" s="22"/>
      <c r="G130" s="24" t="s">
        <v>277</v>
      </c>
      <c r="H130" s="2"/>
    </row>
    <row r="131" spans="1:8" ht="28.9">
      <c r="A131" s="29"/>
      <c r="B131" s="29"/>
      <c r="C131" s="2"/>
      <c r="D131" s="2" t="s">
        <v>278</v>
      </c>
      <c r="E131" s="27" t="s">
        <v>279</v>
      </c>
      <c r="F131" s="2"/>
      <c r="G131" s="21" t="s">
        <v>280</v>
      </c>
      <c r="H131" s="2"/>
    </row>
    <row r="132" spans="1:8">
      <c r="A132" s="29"/>
      <c r="B132" s="29"/>
      <c r="C132" s="2"/>
      <c r="D132" s="2" t="s">
        <v>281</v>
      </c>
      <c r="E132" s="27" t="s">
        <v>282</v>
      </c>
      <c r="F132" s="2"/>
      <c r="G132" s="21" t="s">
        <v>217</v>
      </c>
      <c r="H132" s="2"/>
    </row>
    <row r="133" spans="1:8" ht="28.9">
      <c r="A133" s="29"/>
      <c r="B133" s="29"/>
      <c r="C133" s="2"/>
      <c r="D133" s="2" t="s">
        <v>283</v>
      </c>
      <c r="E133" s="2" t="s">
        <v>284</v>
      </c>
      <c r="F133" s="2"/>
      <c r="G133" s="21" t="s">
        <v>285</v>
      </c>
      <c r="H133" s="2"/>
    </row>
    <row r="134" spans="1:8" ht="28.9">
      <c r="A134" s="29"/>
      <c r="B134" s="29"/>
      <c r="C134" s="2"/>
      <c r="D134" s="2" t="s">
        <v>286</v>
      </c>
      <c r="E134" s="2" t="s">
        <v>287</v>
      </c>
      <c r="F134" s="2"/>
      <c r="G134" s="21" t="s">
        <v>288</v>
      </c>
      <c r="H134" s="2"/>
    </row>
    <row r="135" spans="1:8" ht="28.9">
      <c r="A135" s="29"/>
      <c r="B135" s="29"/>
      <c r="C135" s="2"/>
      <c r="D135" s="27" t="s">
        <v>289</v>
      </c>
      <c r="E135" s="2" t="s">
        <v>290</v>
      </c>
      <c r="F135" s="2"/>
      <c r="G135" s="21" t="s">
        <v>291</v>
      </c>
      <c r="H135" s="2"/>
    </row>
    <row r="136" spans="1:8" ht="28.9">
      <c r="A136" s="30"/>
      <c r="B136" s="30"/>
      <c r="C136" s="23"/>
      <c r="D136" s="36" t="s">
        <v>292</v>
      </c>
      <c r="E136" s="36" t="s">
        <v>293</v>
      </c>
      <c r="F136" s="23"/>
      <c r="G136" s="25" t="s">
        <v>280</v>
      </c>
      <c r="H136" s="2"/>
    </row>
    <row r="137" spans="1:8">
      <c r="A137" s="2"/>
      <c r="B137" s="2"/>
      <c r="C137" s="2"/>
      <c r="D137" s="2"/>
      <c r="E137" s="2"/>
      <c r="F137" s="2"/>
      <c r="G137" s="2"/>
      <c r="H137" s="2"/>
    </row>
    <row r="138" spans="1:8" ht="28.9">
      <c r="A138" s="26" t="s">
        <v>294</v>
      </c>
      <c r="B138" s="26" t="s">
        <v>295</v>
      </c>
      <c r="C138" s="22"/>
      <c r="D138" s="13">
        <v>65</v>
      </c>
      <c r="E138" s="22" t="s">
        <v>296</v>
      </c>
      <c r="F138" s="22"/>
      <c r="G138" s="24" t="s">
        <v>297</v>
      </c>
      <c r="H138" s="2"/>
    </row>
    <row r="139" spans="1:8">
      <c r="A139" s="29"/>
      <c r="B139" s="29"/>
      <c r="C139" s="2"/>
      <c r="D139" s="15" t="s">
        <v>298</v>
      </c>
      <c r="E139" s="2" t="s">
        <v>299</v>
      </c>
      <c r="F139" s="2"/>
      <c r="G139" s="21" t="s">
        <v>300</v>
      </c>
      <c r="H139" s="2"/>
    </row>
    <row r="140" spans="1:8">
      <c r="A140" s="29"/>
      <c r="B140" s="29"/>
      <c r="C140" s="2"/>
      <c r="D140" s="15">
        <v>78</v>
      </c>
      <c r="E140" s="2" t="s">
        <v>301</v>
      </c>
      <c r="F140" s="2"/>
      <c r="G140" s="21" t="s">
        <v>302</v>
      </c>
      <c r="H140" s="2"/>
    </row>
    <row r="141" spans="1:8">
      <c r="A141" s="29"/>
      <c r="B141" s="29"/>
      <c r="C141" s="2"/>
      <c r="D141" s="15" t="s">
        <v>303</v>
      </c>
      <c r="E141" s="2" t="s">
        <v>304</v>
      </c>
      <c r="F141" s="2"/>
      <c r="G141" s="21" t="s">
        <v>305</v>
      </c>
      <c r="H141" s="2"/>
    </row>
    <row r="142" spans="1:8">
      <c r="A142" s="29"/>
      <c r="B142" s="29"/>
      <c r="C142" s="2"/>
      <c r="D142" s="15" t="s">
        <v>306</v>
      </c>
      <c r="E142" s="2" t="s">
        <v>307</v>
      </c>
      <c r="F142" s="2"/>
      <c r="G142" s="21" t="s">
        <v>308</v>
      </c>
      <c r="H142" s="2"/>
    </row>
    <row r="143" spans="1:8">
      <c r="A143" s="29"/>
      <c r="B143" s="29"/>
      <c r="C143" s="2"/>
      <c r="D143" s="15" t="s">
        <v>309</v>
      </c>
      <c r="E143" s="2" t="s">
        <v>310</v>
      </c>
      <c r="F143" s="2"/>
      <c r="G143" s="21" t="s">
        <v>311</v>
      </c>
      <c r="H143" s="2"/>
    </row>
    <row r="144" spans="1:8">
      <c r="A144" s="29"/>
      <c r="B144" s="30"/>
      <c r="C144" s="23"/>
      <c r="D144" s="17">
        <v>39</v>
      </c>
      <c r="E144" s="23" t="s">
        <v>312</v>
      </c>
      <c r="F144" s="23"/>
      <c r="G144" s="25" t="s">
        <v>313</v>
      </c>
      <c r="H144" s="2"/>
    </row>
    <row r="145" spans="1:8">
      <c r="A145" s="29"/>
      <c r="B145" s="2"/>
      <c r="C145" s="2"/>
      <c r="D145" s="2"/>
      <c r="E145" s="2"/>
      <c r="F145" s="2"/>
      <c r="G145" s="21"/>
      <c r="H145" s="2"/>
    </row>
    <row r="146" spans="1:8">
      <c r="A146" s="29"/>
      <c r="B146" s="26" t="s">
        <v>314</v>
      </c>
      <c r="C146" s="22"/>
      <c r="D146" s="37" t="s">
        <v>315</v>
      </c>
      <c r="E146" s="22" t="s">
        <v>316</v>
      </c>
      <c r="F146" s="22"/>
      <c r="G146" s="24" t="s">
        <v>300</v>
      </c>
      <c r="H146" s="2"/>
    </row>
    <row r="147" spans="1:8">
      <c r="A147" s="29"/>
      <c r="B147" s="29"/>
      <c r="C147" s="2"/>
      <c r="D147" s="28">
        <v>17</v>
      </c>
      <c r="E147" s="2" t="s">
        <v>317</v>
      </c>
      <c r="F147" s="2"/>
      <c r="G147" s="21"/>
      <c r="H147" s="2"/>
    </row>
    <row r="148" spans="1:8" ht="28.9">
      <c r="A148" s="29"/>
      <c r="B148" s="29"/>
      <c r="C148" s="2"/>
      <c r="D148" s="28">
        <v>19</v>
      </c>
      <c r="E148" s="2" t="s">
        <v>318</v>
      </c>
      <c r="F148" s="2"/>
      <c r="G148" s="21" t="s">
        <v>319</v>
      </c>
      <c r="H148" s="2"/>
    </row>
    <row r="149" spans="1:8">
      <c r="A149" s="29"/>
      <c r="B149" s="29"/>
      <c r="C149" s="2"/>
      <c r="D149" s="28" t="s">
        <v>320</v>
      </c>
      <c r="E149" s="2" t="s">
        <v>321</v>
      </c>
      <c r="F149" s="2"/>
      <c r="G149" s="21" t="s">
        <v>308</v>
      </c>
      <c r="H149" s="2"/>
    </row>
    <row r="150" spans="1:8">
      <c r="A150" s="29"/>
      <c r="B150" s="30"/>
      <c r="C150" s="23"/>
      <c r="D150" s="44">
        <v>18</v>
      </c>
      <c r="E150" s="23" t="s">
        <v>322</v>
      </c>
      <c r="F150" s="23"/>
      <c r="G150" s="25" t="s">
        <v>305</v>
      </c>
      <c r="H150" s="2"/>
    </row>
    <row r="151" spans="1:8">
      <c r="A151" s="29"/>
      <c r="B151" s="2"/>
      <c r="C151" s="2"/>
      <c r="D151" s="2"/>
      <c r="E151" s="2"/>
      <c r="F151" s="2"/>
      <c r="G151" s="21"/>
      <c r="H151" s="2"/>
    </row>
    <row r="152" spans="1:8">
      <c r="A152" s="29"/>
      <c r="B152" s="26" t="s">
        <v>323</v>
      </c>
      <c r="C152" s="22"/>
      <c r="D152" s="13">
        <v>192</v>
      </c>
      <c r="E152" s="22" t="s">
        <v>324</v>
      </c>
      <c r="F152" s="22"/>
      <c r="G152" s="24" t="s">
        <v>171</v>
      </c>
      <c r="H152" s="2"/>
    </row>
    <row r="153" spans="1:8">
      <c r="A153" s="29"/>
      <c r="B153" s="29"/>
      <c r="C153" s="2"/>
      <c r="D153" s="15" t="s">
        <v>325</v>
      </c>
      <c r="E153" s="2" t="s">
        <v>326</v>
      </c>
      <c r="F153" s="2"/>
      <c r="G153" s="21" t="s">
        <v>146</v>
      </c>
      <c r="H153" s="2"/>
    </row>
    <row r="154" spans="1:8">
      <c r="A154" s="29"/>
      <c r="B154" s="29"/>
      <c r="C154" s="2"/>
      <c r="D154" s="15">
        <v>182</v>
      </c>
      <c r="E154" s="2" t="s">
        <v>327</v>
      </c>
      <c r="F154" s="2"/>
      <c r="G154" s="21" t="s">
        <v>228</v>
      </c>
      <c r="H154" s="2"/>
    </row>
    <row r="155" spans="1:8">
      <c r="A155" s="29"/>
      <c r="B155" s="29"/>
      <c r="C155" s="2"/>
      <c r="D155" s="15">
        <v>190</v>
      </c>
      <c r="E155" s="2" t="s">
        <v>328</v>
      </c>
      <c r="F155" s="2"/>
      <c r="G155" s="21" t="s">
        <v>149</v>
      </c>
      <c r="H155" s="2"/>
    </row>
    <row r="156" spans="1:8">
      <c r="A156" s="29"/>
      <c r="B156" s="29"/>
      <c r="C156" s="2"/>
      <c r="D156" s="15">
        <v>172</v>
      </c>
      <c r="E156" s="2" t="s">
        <v>329</v>
      </c>
      <c r="F156" s="2"/>
      <c r="G156" s="21" t="s">
        <v>171</v>
      </c>
      <c r="H156" s="2"/>
    </row>
    <row r="157" spans="1:8">
      <c r="A157" s="29"/>
      <c r="B157" s="29"/>
      <c r="C157" s="2"/>
      <c r="D157" s="15">
        <v>107</v>
      </c>
      <c r="E157" s="2" t="s">
        <v>330</v>
      </c>
      <c r="F157" s="2"/>
      <c r="G157" s="21" t="s">
        <v>144</v>
      </c>
      <c r="H157" s="2"/>
    </row>
    <row r="158" spans="1:8">
      <c r="A158" s="29"/>
      <c r="B158" s="29"/>
      <c r="C158" s="2"/>
      <c r="D158" s="15" t="s">
        <v>331</v>
      </c>
      <c r="E158" s="2" t="s">
        <v>209</v>
      </c>
      <c r="F158" s="2"/>
      <c r="G158" s="21" t="s">
        <v>146</v>
      </c>
      <c r="H158" s="2"/>
    </row>
    <row r="159" spans="1:8">
      <c r="A159" s="30"/>
      <c r="B159" s="30"/>
      <c r="C159" s="23"/>
      <c r="D159" s="17">
        <v>144</v>
      </c>
      <c r="E159" s="23" t="s">
        <v>332</v>
      </c>
      <c r="F159" s="23"/>
      <c r="G159" s="25" t="s">
        <v>228</v>
      </c>
      <c r="H159" s="2"/>
    </row>
    <row r="160" spans="1:8">
      <c r="A160" s="2"/>
      <c r="B160" s="2"/>
      <c r="C160" s="2"/>
      <c r="D160" s="2"/>
      <c r="E160" s="2"/>
      <c r="F160" s="2"/>
      <c r="G160" s="2"/>
      <c r="H160" s="2"/>
    </row>
    <row r="161" spans="1:8" ht="28.9">
      <c r="A161" s="26" t="s">
        <v>333</v>
      </c>
      <c r="B161" s="26" t="s">
        <v>334</v>
      </c>
      <c r="C161" s="22"/>
      <c r="D161" s="22" t="s">
        <v>335</v>
      </c>
      <c r="E161" s="22" t="s">
        <v>336</v>
      </c>
      <c r="F161" s="22"/>
      <c r="G161" s="24" t="s">
        <v>149</v>
      </c>
      <c r="H161" s="2"/>
    </row>
    <row r="162" spans="1:8">
      <c r="A162" s="29"/>
      <c r="B162" s="29"/>
      <c r="C162" s="2"/>
      <c r="D162" s="2" t="s">
        <v>337</v>
      </c>
      <c r="E162" s="2" t="s">
        <v>338</v>
      </c>
      <c r="F162" s="2"/>
      <c r="G162" s="21" t="s">
        <v>146</v>
      </c>
      <c r="H162" s="2"/>
    </row>
    <row r="163" spans="1:8">
      <c r="A163" s="29"/>
      <c r="B163" s="29"/>
      <c r="C163" s="2"/>
      <c r="D163" s="2" t="s">
        <v>339</v>
      </c>
      <c r="E163" s="2" t="s">
        <v>340</v>
      </c>
      <c r="F163" s="2"/>
      <c r="G163" s="21" t="s">
        <v>144</v>
      </c>
      <c r="H163" s="2"/>
    </row>
    <row r="164" spans="1:8">
      <c r="A164" s="29"/>
      <c r="B164" s="29"/>
      <c r="C164" s="2"/>
      <c r="D164" s="2" t="s">
        <v>341</v>
      </c>
      <c r="E164" s="2" t="s">
        <v>342</v>
      </c>
      <c r="F164" s="2"/>
      <c r="G164" s="21" t="s">
        <v>157</v>
      </c>
      <c r="H164" s="2"/>
    </row>
    <row r="165" spans="1:8">
      <c r="A165" s="29"/>
      <c r="B165" s="29"/>
      <c r="C165" s="2"/>
      <c r="D165" s="2" t="s">
        <v>343</v>
      </c>
      <c r="E165" s="2" t="s">
        <v>344</v>
      </c>
      <c r="F165" s="2"/>
      <c r="G165" s="21" t="s">
        <v>345</v>
      </c>
      <c r="H165" s="2"/>
    </row>
    <row r="166" spans="1:8">
      <c r="A166" s="29"/>
      <c r="B166" s="29"/>
      <c r="C166" s="2"/>
      <c r="D166" s="2" t="s">
        <v>346</v>
      </c>
      <c r="E166" s="2" t="s">
        <v>347</v>
      </c>
      <c r="F166" s="2"/>
      <c r="G166" s="21" t="s">
        <v>171</v>
      </c>
      <c r="H166" s="2"/>
    </row>
    <row r="167" spans="1:8">
      <c r="A167" s="29"/>
      <c r="B167" s="29"/>
      <c r="C167" s="2"/>
      <c r="D167" s="2" t="s">
        <v>348</v>
      </c>
      <c r="E167" s="2" t="s">
        <v>349</v>
      </c>
      <c r="F167" s="2"/>
      <c r="G167" s="21" t="s">
        <v>149</v>
      </c>
      <c r="H167" s="2"/>
    </row>
    <row r="168" spans="1:8">
      <c r="A168" s="29"/>
      <c r="B168" s="30"/>
      <c r="C168" s="23"/>
      <c r="D168" s="23" t="s">
        <v>350</v>
      </c>
      <c r="E168" s="23" t="s">
        <v>351</v>
      </c>
      <c r="F168" s="23"/>
      <c r="G168" s="25" t="s">
        <v>333</v>
      </c>
      <c r="H168" s="2"/>
    </row>
    <row r="169" spans="1:8">
      <c r="A169" s="29"/>
      <c r="B169" s="2"/>
      <c r="C169" s="2"/>
      <c r="D169" s="2"/>
      <c r="E169" s="2"/>
      <c r="F169" s="2"/>
      <c r="G169" s="21"/>
      <c r="H169" s="2"/>
    </row>
    <row r="170" spans="1:8">
      <c r="A170" s="29"/>
      <c r="B170" s="26" t="s">
        <v>352</v>
      </c>
      <c r="C170" s="22"/>
      <c r="D170" s="13">
        <v>99</v>
      </c>
      <c r="E170" s="22" t="s">
        <v>353</v>
      </c>
      <c r="F170" s="22"/>
      <c r="G170" s="24" t="s">
        <v>38</v>
      </c>
      <c r="H170" s="2"/>
    </row>
    <row r="171" spans="1:8">
      <c r="A171" s="29"/>
      <c r="B171" s="29"/>
      <c r="C171" s="2"/>
      <c r="D171" s="15" t="s">
        <v>354</v>
      </c>
      <c r="E171" s="2" t="s">
        <v>355</v>
      </c>
      <c r="F171" s="2"/>
      <c r="G171" s="21" t="s">
        <v>264</v>
      </c>
      <c r="H171" s="2"/>
    </row>
    <row r="172" spans="1:8">
      <c r="A172" s="29"/>
      <c r="B172" s="29"/>
      <c r="C172" s="2"/>
      <c r="D172" s="15">
        <v>96</v>
      </c>
      <c r="E172" s="2" t="s">
        <v>356</v>
      </c>
      <c r="F172" s="2"/>
      <c r="G172" s="21" t="s">
        <v>40</v>
      </c>
      <c r="H172" s="2"/>
    </row>
    <row r="173" spans="1:8">
      <c r="A173" s="29"/>
      <c r="B173" s="29"/>
      <c r="C173" s="2"/>
      <c r="D173" s="15" t="s">
        <v>357</v>
      </c>
      <c r="E173" s="2" t="s">
        <v>358</v>
      </c>
      <c r="F173" s="2"/>
      <c r="G173" s="21" t="s">
        <v>58</v>
      </c>
      <c r="H173" s="2"/>
    </row>
    <row r="174" spans="1:8">
      <c r="A174" s="29"/>
      <c r="B174" s="29"/>
      <c r="C174" s="2"/>
      <c r="D174" s="15">
        <v>95</v>
      </c>
      <c r="E174" s="2" t="s">
        <v>359</v>
      </c>
      <c r="F174" s="2"/>
      <c r="G174" s="21" t="s">
        <v>42</v>
      </c>
      <c r="H174" s="2"/>
    </row>
    <row r="175" spans="1:8">
      <c r="A175" s="29"/>
      <c r="B175" s="29"/>
      <c r="C175" s="2"/>
      <c r="D175" s="15" t="s">
        <v>360</v>
      </c>
      <c r="E175" s="2" t="s">
        <v>361</v>
      </c>
      <c r="F175" s="2"/>
      <c r="G175" s="21" t="s">
        <v>362</v>
      </c>
      <c r="H175" s="2"/>
    </row>
    <row r="176" spans="1:8">
      <c r="A176" s="29"/>
      <c r="B176" s="30"/>
      <c r="C176" s="23"/>
      <c r="D176" s="17">
        <v>96</v>
      </c>
      <c r="E176" s="23" t="s">
        <v>363</v>
      </c>
      <c r="F176" s="23"/>
      <c r="G176" s="25" t="s">
        <v>364</v>
      </c>
      <c r="H176" s="2"/>
    </row>
    <row r="177" spans="1:8">
      <c r="A177" s="29"/>
      <c r="B177" s="2"/>
      <c r="C177" s="2"/>
      <c r="D177" s="2"/>
      <c r="E177" s="2"/>
      <c r="F177" s="2"/>
      <c r="G177" s="21"/>
      <c r="H177" s="2"/>
    </row>
    <row r="178" spans="1:8">
      <c r="A178" s="29"/>
      <c r="B178" s="26" t="s">
        <v>365</v>
      </c>
      <c r="C178" s="22"/>
      <c r="D178" s="22" t="s">
        <v>366</v>
      </c>
      <c r="E178" s="22" t="s">
        <v>367</v>
      </c>
      <c r="F178" s="22"/>
      <c r="G178" s="24" t="s">
        <v>231</v>
      </c>
      <c r="H178" s="2"/>
    </row>
    <row r="179" spans="1:8">
      <c r="A179" s="29"/>
      <c r="B179" s="29"/>
      <c r="C179" s="2"/>
      <c r="D179" s="2" t="s">
        <v>368</v>
      </c>
      <c r="E179" s="2" t="s">
        <v>369</v>
      </c>
      <c r="F179" s="2"/>
      <c r="G179" s="21" t="s">
        <v>144</v>
      </c>
      <c r="H179" s="2"/>
    </row>
    <row r="180" spans="1:8">
      <c r="A180" s="29"/>
      <c r="B180" s="29"/>
      <c r="C180" s="2"/>
      <c r="D180" s="2" t="s">
        <v>370</v>
      </c>
      <c r="E180" s="2" t="s">
        <v>371</v>
      </c>
      <c r="F180" s="2"/>
      <c r="G180" s="21" t="s">
        <v>149</v>
      </c>
      <c r="H180" s="2"/>
    </row>
    <row r="181" spans="1:8">
      <c r="A181" s="29"/>
      <c r="B181" s="29"/>
      <c r="C181" s="2"/>
      <c r="D181" s="2" t="s">
        <v>372</v>
      </c>
      <c r="E181" s="2" t="s">
        <v>373</v>
      </c>
      <c r="F181" s="2"/>
      <c r="G181" s="21" t="s">
        <v>157</v>
      </c>
      <c r="H181" s="2"/>
    </row>
    <row r="182" spans="1:8">
      <c r="A182" s="29"/>
      <c r="B182" s="29"/>
      <c r="C182" s="2"/>
      <c r="D182" s="2" t="s">
        <v>374</v>
      </c>
      <c r="E182" s="2" t="s">
        <v>375</v>
      </c>
      <c r="F182" s="2"/>
      <c r="G182" s="21" t="s">
        <v>171</v>
      </c>
      <c r="H182" s="2"/>
    </row>
    <row r="183" spans="1:8">
      <c r="A183" s="29"/>
      <c r="B183" s="29"/>
      <c r="C183" s="2"/>
      <c r="D183" s="2" t="s">
        <v>376</v>
      </c>
      <c r="E183" s="2" t="s">
        <v>377</v>
      </c>
      <c r="F183" s="2"/>
      <c r="G183" s="21" t="s">
        <v>171</v>
      </c>
      <c r="H183" s="2"/>
    </row>
    <row r="184" spans="1:8">
      <c r="A184" s="30"/>
      <c r="B184" s="30"/>
      <c r="C184" s="23"/>
      <c r="D184" s="23" t="s">
        <v>378</v>
      </c>
      <c r="E184" s="23" t="s">
        <v>379</v>
      </c>
      <c r="F184" s="23"/>
      <c r="G184" s="25" t="s">
        <v>380</v>
      </c>
      <c r="H184" s="2"/>
    </row>
    <row r="185" spans="1:8">
      <c r="A185" s="2"/>
      <c r="B185" s="2"/>
      <c r="C185" s="2"/>
      <c r="D185" s="2"/>
      <c r="E185" s="2"/>
      <c r="F185" s="2"/>
      <c r="G185" s="2"/>
      <c r="H185" s="2"/>
    </row>
    <row r="186" spans="1:8" ht="28.9">
      <c r="A186" s="26" t="s">
        <v>228</v>
      </c>
      <c r="B186" s="26" t="s">
        <v>381</v>
      </c>
      <c r="C186" s="22"/>
      <c r="D186" s="13" t="s">
        <v>382</v>
      </c>
      <c r="E186" s="22" t="s">
        <v>383</v>
      </c>
      <c r="F186" s="22"/>
      <c r="G186" s="24" t="s">
        <v>231</v>
      </c>
      <c r="H186" s="2"/>
    </row>
    <row r="187" spans="1:8">
      <c r="A187" s="29"/>
      <c r="B187" s="29"/>
      <c r="C187" s="2"/>
      <c r="D187" s="15" t="s">
        <v>384</v>
      </c>
      <c r="E187" s="2" t="s">
        <v>385</v>
      </c>
      <c r="F187" s="2"/>
      <c r="G187" s="21" t="s">
        <v>149</v>
      </c>
      <c r="H187" s="2"/>
    </row>
    <row r="188" spans="1:8">
      <c r="A188" s="29"/>
      <c r="B188" s="29"/>
      <c r="C188" s="2"/>
      <c r="D188" s="15" t="s">
        <v>386</v>
      </c>
      <c r="E188" s="2" t="s">
        <v>387</v>
      </c>
      <c r="F188" s="2"/>
      <c r="G188" s="21" t="s">
        <v>144</v>
      </c>
      <c r="H188" s="2"/>
    </row>
    <row r="189" spans="1:8">
      <c r="A189" s="29"/>
      <c r="B189" s="29"/>
      <c r="C189" s="2"/>
      <c r="D189" s="15" t="s">
        <v>388</v>
      </c>
      <c r="E189" s="2" t="s">
        <v>389</v>
      </c>
      <c r="F189" s="2"/>
      <c r="G189" s="21" t="s">
        <v>380</v>
      </c>
      <c r="H189" s="2"/>
    </row>
    <row r="190" spans="1:8">
      <c r="A190" s="29"/>
      <c r="B190" s="29"/>
      <c r="C190" s="2"/>
      <c r="D190" s="15">
        <v>166</v>
      </c>
      <c r="E190" s="2" t="s">
        <v>390</v>
      </c>
      <c r="F190" s="2"/>
      <c r="G190" s="21" t="s">
        <v>146</v>
      </c>
      <c r="H190" s="2"/>
    </row>
    <row r="191" spans="1:8">
      <c r="A191" s="29"/>
      <c r="B191" s="29"/>
      <c r="C191" s="2"/>
      <c r="D191" s="15">
        <v>87</v>
      </c>
      <c r="E191" s="2" t="s">
        <v>391</v>
      </c>
      <c r="F191" s="2"/>
      <c r="G191" s="21" t="s">
        <v>171</v>
      </c>
      <c r="H191" s="2"/>
    </row>
    <row r="192" spans="1:8">
      <c r="A192" s="29"/>
      <c r="B192" s="29"/>
      <c r="C192" s="2"/>
      <c r="D192" s="15">
        <v>276</v>
      </c>
      <c r="E192" s="2" t="s">
        <v>392</v>
      </c>
      <c r="F192" s="2"/>
      <c r="G192" s="21" t="s">
        <v>171</v>
      </c>
      <c r="H192" s="2"/>
    </row>
    <row r="193" spans="1:8">
      <c r="A193" s="29"/>
      <c r="B193" s="30"/>
      <c r="C193" s="23"/>
      <c r="D193" s="17">
        <v>8</v>
      </c>
      <c r="E193" s="23" t="s">
        <v>393</v>
      </c>
      <c r="F193" s="23"/>
      <c r="G193" s="25" t="s">
        <v>171</v>
      </c>
      <c r="H193" s="2"/>
    </row>
    <row r="194" spans="1:8">
      <c r="A194" s="29"/>
      <c r="B194" s="2"/>
      <c r="C194" s="2"/>
      <c r="D194" s="2"/>
      <c r="E194" s="2"/>
      <c r="F194" s="2"/>
      <c r="G194" s="21"/>
      <c r="H194" s="2"/>
    </row>
    <row r="195" spans="1:8" ht="28.9">
      <c r="A195" s="29"/>
      <c r="B195" s="26" t="s">
        <v>394</v>
      </c>
      <c r="C195" s="22"/>
      <c r="D195" s="22" t="s">
        <v>395</v>
      </c>
      <c r="E195" s="22" t="s">
        <v>396</v>
      </c>
      <c r="F195" s="22"/>
      <c r="G195" s="24" t="s">
        <v>397</v>
      </c>
      <c r="H195" s="2"/>
    </row>
    <row r="196" spans="1:8">
      <c r="A196" s="29"/>
      <c r="B196" s="29"/>
      <c r="C196" s="2"/>
      <c r="D196" s="2" t="s">
        <v>398</v>
      </c>
      <c r="E196" s="2" t="s">
        <v>399</v>
      </c>
      <c r="F196" s="2"/>
      <c r="G196" s="21" t="s">
        <v>264</v>
      </c>
      <c r="H196" s="2"/>
    </row>
    <row r="197" spans="1:8">
      <c r="A197" s="29"/>
      <c r="B197" s="29"/>
      <c r="C197" s="2"/>
      <c r="D197" s="2" t="s">
        <v>400</v>
      </c>
      <c r="E197" s="2" t="s">
        <v>401</v>
      </c>
      <c r="F197" s="2"/>
      <c r="G197" s="21" t="s">
        <v>402</v>
      </c>
      <c r="H197" s="2"/>
    </row>
    <row r="198" spans="1:8">
      <c r="A198" s="29"/>
      <c r="B198" s="29"/>
      <c r="C198" s="2"/>
      <c r="D198" s="2" t="s">
        <v>403</v>
      </c>
      <c r="E198" s="2" t="s">
        <v>404</v>
      </c>
      <c r="F198" s="2"/>
      <c r="G198" s="21" t="s">
        <v>42</v>
      </c>
      <c r="H198" s="2"/>
    </row>
    <row r="199" spans="1:8">
      <c r="A199" s="29"/>
      <c r="B199" s="29"/>
      <c r="C199" s="2"/>
      <c r="D199" s="2" t="s">
        <v>405</v>
      </c>
      <c r="E199" s="2" t="s">
        <v>406</v>
      </c>
      <c r="F199" s="2"/>
      <c r="G199" s="21" t="s">
        <v>54</v>
      </c>
      <c r="H199" s="2"/>
    </row>
    <row r="200" spans="1:8" ht="28.9">
      <c r="A200" s="29"/>
      <c r="B200" s="29"/>
      <c r="C200" s="2"/>
      <c r="D200" s="2" t="s">
        <v>407</v>
      </c>
      <c r="E200" s="2" t="s">
        <v>408</v>
      </c>
      <c r="F200" s="2"/>
      <c r="G200" s="21" t="s">
        <v>409</v>
      </c>
      <c r="H200" s="2"/>
    </row>
    <row r="201" spans="1:8">
      <c r="A201" s="29"/>
      <c r="B201" s="29"/>
      <c r="C201" s="2"/>
      <c r="D201" s="2" t="s">
        <v>410</v>
      </c>
      <c r="E201" s="2" t="s">
        <v>411</v>
      </c>
      <c r="F201" s="2"/>
      <c r="G201" s="21" t="s">
        <v>70</v>
      </c>
      <c r="H201" s="2"/>
    </row>
    <row r="202" spans="1:8">
      <c r="A202" s="29"/>
      <c r="B202" s="29"/>
      <c r="C202" s="2"/>
      <c r="D202" s="2" t="s">
        <v>412</v>
      </c>
      <c r="E202" s="2" t="s">
        <v>413</v>
      </c>
      <c r="F202" s="2"/>
      <c r="G202" s="21" t="s">
        <v>42</v>
      </c>
      <c r="H202" s="2"/>
    </row>
    <row r="203" spans="1:8">
      <c r="A203" s="29"/>
      <c r="B203" s="29"/>
      <c r="C203" s="2"/>
      <c r="D203" s="2" t="s">
        <v>414</v>
      </c>
      <c r="E203" s="2" t="s">
        <v>415</v>
      </c>
      <c r="F203" s="2"/>
      <c r="G203" s="21" t="s">
        <v>40</v>
      </c>
      <c r="H203" s="2"/>
    </row>
    <row r="204" spans="1:8">
      <c r="A204" s="29"/>
      <c r="B204" s="30"/>
      <c r="C204" s="23"/>
      <c r="D204" s="23" t="s">
        <v>416</v>
      </c>
      <c r="E204" s="23" t="s">
        <v>417</v>
      </c>
      <c r="F204" s="23"/>
      <c r="G204" s="25" t="s">
        <v>418</v>
      </c>
      <c r="H204" s="2"/>
    </row>
    <row r="205" spans="1:8">
      <c r="A205" s="29"/>
      <c r="B205" s="2"/>
      <c r="C205" s="2"/>
      <c r="D205" s="2"/>
      <c r="E205" s="2"/>
      <c r="F205" s="2"/>
      <c r="G205" s="21"/>
      <c r="H205" s="2"/>
    </row>
    <row r="206" spans="1:8" ht="28.9">
      <c r="A206" s="29"/>
      <c r="B206" s="26" t="s">
        <v>419</v>
      </c>
      <c r="C206" s="22"/>
      <c r="D206" s="13" t="s">
        <v>420</v>
      </c>
      <c r="E206" s="22" t="s">
        <v>421</v>
      </c>
      <c r="F206" s="22"/>
      <c r="G206" s="24" t="s">
        <v>422</v>
      </c>
      <c r="H206" s="2"/>
    </row>
    <row r="207" spans="1:8">
      <c r="A207" s="29"/>
      <c r="B207" s="29"/>
      <c r="C207" s="2"/>
      <c r="D207" s="15" t="s">
        <v>423</v>
      </c>
      <c r="E207" s="2" t="s">
        <v>424</v>
      </c>
      <c r="F207" s="2"/>
      <c r="G207" s="21" t="s">
        <v>146</v>
      </c>
      <c r="H207" s="2"/>
    </row>
    <row r="208" spans="1:8" ht="28.9">
      <c r="A208" s="29"/>
      <c r="B208" s="29"/>
      <c r="C208" s="2"/>
      <c r="D208" s="15">
        <v>730</v>
      </c>
      <c r="E208" s="2" t="s">
        <v>425</v>
      </c>
      <c r="F208" s="2"/>
      <c r="G208" s="21" t="s">
        <v>426</v>
      </c>
      <c r="H208" s="2"/>
    </row>
    <row r="209" spans="1:8">
      <c r="A209" s="29"/>
      <c r="B209" s="29"/>
      <c r="C209" s="2"/>
      <c r="D209" s="15" t="s">
        <v>427</v>
      </c>
      <c r="E209" s="2" t="s">
        <v>428</v>
      </c>
      <c r="F209" s="2"/>
      <c r="G209" s="21" t="s">
        <v>146</v>
      </c>
      <c r="H209" s="2"/>
    </row>
    <row r="210" spans="1:8" ht="28.9">
      <c r="A210" s="29"/>
      <c r="B210" s="29"/>
      <c r="C210" s="2"/>
      <c r="D210" s="15" t="s">
        <v>429</v>
      </c>
      <c r="E210" s="2" t="s">
        <v>430</v>
      </c>
      <c r="F210" s="2"/>
      <c r="G210" s="21" t="s">
        <v>431</v>
      </c>
      <c r="H210" s="2"/>
    </row>
    <row r="211" spans="1:8" ht="28.9">
      <c r="A211" s="29"/>
      <c r="B211" s="29"/>
      <c r="C211" s="2"/>
      <c r="D211" s="15" t="s">
        <v>432</v>
      </c>
      <c r="E211" s="2" t="s">
        <v>433</v>
      </c>
      <c r="F211" s="2"/>
      <c r="G211" s="21" t="s">
        <v>426</v>
      </c>
      <c r="H211" s="2"/>
    </row>
    <row r="212" spans="1:8" ht="28.9">
      <c r="A212" s="29"/>
      <c r="B212" s="29"/>
      <c r="C212" s="2"/>
      <c r="D212" s="15" t="s">
        <v>434</v>
      </c>
      <c r="E212" s="2" t="s">
        <v>435</v>
      </c>
      <c r="F212" s="2"/>
      <c r="G212" s="21" t="s">
        <v>436</v>
      </c>
      <c r="H212" s="2"/>
    </row>
    <row r="213" spans="1:8" ht="28.9">
      <c r="A213" s="29"/>
      <c r="B213" s="29"/>
      <c r="C213" s="2"/>
      <c r="D213" s="15" t="s">
        <v>437</v>
      </c>
      <c r="E213" s="2" t="s">
        <v>438</v>
      </c>
      <c r="F213" s="2"/>
      <c r="G213" s="21" t="s">
        <v>439</v>
      </c>
      <c r="H213" s="2"/>
    </row>
    <row r="214" spans="1:8" ht="28.9">
      <c r="A214" s="29"/>
      <c r="B214" s="29"/>
      <c r="C214" s="2"/>
      <c r="D214" s="15" t="s">
        <v>440</v>
      </c>
      <c r="E214" s="2" t="s">
        <v>441</v>
      </c>
      <c r="F214" s="2"/>
      <c r="G214" s="21" t="s">
        <v>442</v>
      </c>
      <c r="H214" s="2"/>
    </row>
    <row r="215" spans="1:8">
      <c r="A215" s="30"/>
      <c r="B215" s="30"/>
      <c r="C215" s="23"/>
      <c r="D215" s="17" t="s">
        <v>443</v>
      </c>
      <c r="E215" s="23" t="s">
        <v>444</v>
      </c>
      <c r="F215" s="23"/>
      <c r="G215" s="25" t="s">
        <v>228</v>
      </c>
      <c r="H215" s="2"/>
    </row>
    <row r="216" spans="1:8">
      <c r="A216" s="2"/>
      <c r="B216" s="2"/>
      <c r="C216" s="2"/>
      <c r="D216" s="2"/>
      <c r="E216" s="2"/>
      <c r="F216" s="2"/>
      <c r="G216" s="2"/>
      <c r="H216" s="2"/>
    </row>
    <row r="217" spans="1:8" ht="28.9">
      <c r="A217" s="26" t="s">
        <v>445</v>
      </c>
      <c r="B217" s="26" t="s">
        <v>446</v>
      </c>
      <c r="C217" s="22"/>
      <c r="D217" s="22" t="s">
        <v>447</v>
      </c>
      <c r="E217" s="22" t="s">
        <v>448</v>
      </c>
      <c r="F217" s="22"/>
      <c r="G217" s="24" t="s">
        <v>149</v>
      </c>
      <c r="H217" s="2"/>
    </row>
    <row r="218" spans="1:8">
      <c r="A218" s="29"/>
      <c r="B218" s="29"/>
      <c r="C218" s="2"/>
      <c r="D218" s="2" t="s">
        <v>449</v>
      </c>
      <c r="E218" s="2" t="s">
        <v>450</v>
      </c>
      <c r="F218" s="2"/>
      <c r="G218" s="21" t="s">
        <v>380</v>
      </c>
      <c r="H218" s="2"/>
    </row>
    <row r="219" spans="1:8">
      <c r="A219" s="29"/>
      <c r="B219" s="29"/>
      <c r="C219" s="2"/>
      <c r="D219" s="2" t="s">
        <v>451</v>
      </c>
      <c r="E219" s="2" t="s">
        <v>452</v>
      </c>
      <c r="F219" s="2"/>
      <c r="G219" s="21" t="s">
        <v>149</v>
      </c>
      <c r="H219" s="2"/>
    </row>
    <row r="220" spans="1:8">
      <c r="A220" s="29"/>
      <c r="B220" s="29"/>
      <c r="C220" s="2"/>
      <c r="D220" s="2" t="s">
        <v>453</v>
      </c>
      <c r="E220" s="2" t="s">
        <v>454</v>
      </c>
      <c r="F220" s="2"/>
      <c r="G220" s="21" t="s">
        <v>144</v>
      </c>
      <c r="H220" s="2"/>
    </row>
    <row r="221" spans="1:8">
      <c r="A221" s="29"/>
      <c r="B221" s="29"/>
      <c r="C221" s="2"/>
      <c r="D221" s="2" t="s">
        <v>455</v>
      </c>
      <c r="E221" s="2" t="s">
        <v>456</v>
      </c>
      <c r="F221" s="2"/>
      <c r="G221" s="21" t="s">
        <v>445</v>
      </c>
      <c r="H221" s="2"/>
    </row>
    <row r="222" spans="1:8">
      <c r="A222" s="29"/>
      <c r="B222" s="30"/>
      <c r="C222" s="23"/>
      <c r="D222" s="23" t="s">
        <v>457</v>
      </c>
      <c r="E222" s="23" t="s">
        <v>458</v>
      </c>
      <c r="F222" s="23"/>
      <c r="G222" s="25" t="s">
        <v>228</v>
      </c>
      <c r="H222" s="2"/>
    </row>
    <row r="223" spans="1:8">
      <c r="A223" s="29"/>
      <c r="B223" s="2"/>
      <c r="C223" s="2"/>
      <c r="D223" s="2"/>
      <c r="E223" s="2"/>
      <c r="F223" s="2"/>
      <c r="G223" s="21"/>
      <c r="H223" s="2"/>
    </row>
    <row r="224" spans="1:8">
      <c r="A224" s="29"/>
      <c r="B224" s="26" t="s">
        <v>459</v>
      </c>
      <c r="C224" s="22"/>
      <c r="D224" s="13">
        <v>195</v>
      </c>
      <c r="E224" s="22" t="s">
        <v>460</v>
      </c>
      <c r="F224" s="22"/>
      <c r="G224" s="24" t="s">
        <v>228</v>
      </c>
      <c r="H224" s="2"/>
    </row>
    <row r="225" spans="1:8">
      <c r="A225" s="29"/>
      <c r="B225" s="29"/>
      <c r="C225" s="2"/>
      <c r="D225" s="15">
        <v>195</v>
      </c>
      <c r="E225" s="2" t="s">
        <v>461</v>
      </c>
      <c r="F225" s="2"/>
      <c r="G225" s="21" t="s">
        <v>157</v>
      </c>
      <c r="H225" s="2"/>
    </row>
    <row r="226" spans="1:8">
      <c r="A226" s="29"/>
      <c r="B226" s="29"/>
      <c r="C226" s="2"/>
      <c r="D226" s="15">
        <v>188</v>
      </c>
      <c r="E226" s="2" t="s">
        <v>462</v>
      </c>
      <c r="F226" s="2"/>
      <c r="G226" s="21" t="s">
        <v>463</v>
      </c>
      <c r="H226" s="2"/>
    </row>
    <row r="227" spans="1:8">
      <c r="A227" s="29"/>
      <c r="B227" s="29"/>
      <c r="C227" s="2"/>
      <c r="D227" s="15" t="s">
        <v>464</v>
      </c>
      <c r="E227" s="2" t="s">
        <v>465</v>
      </c>
      <c r="F227" s="2"/>
      <c r="G227" s="21" t="s">
        <v>463</v>
      </c>
      <c r="H227" s="2"/>
    </row>
    <row r="228" spans="1:8">
      <c r="A228" s="29"/>
      <c r="B228" s="29"/>
      <c r="C228" s="2"/>
      <c r="D228" s="15">
        <v>207</v>
      </c>
      <c r="E228" s="2" t="s">
        <v>466</v>
      </c>
      <c r="F228" s="2"/>
      <c r="G228" s="21" t="s">
        <v>228</v>
      </c>
      <c r="H228" s="2"/>
    </row>
    <row r="229" spans="1:8">
      <c r="A229" s="29"/>
      <c r="B229" s="30"/>
      <c r="C229" s="23"/>
      <c r="D229" s="17" t="s">
        <v>467</v>
      </c>
      <c r="E229" s="23" t="s">
        <v>468</v>
      </c>
      <c r="F229" s="23"/>
      <c r="G229" s="25" t="s">
        <v>157</v>
      </c>
      <c r="H229" s="2"/>
    </row>
    <row r="230" spans="1:8">
      <c r="A230" s="29"/>
      <c r="B230" s="2"/>
      <c r="C230" s="2"/>
      <c r="D230" s="2"/>
      <c r="E230" s="2"/>
      <c r="F230" s="2"/>
      <c r="G230" s="21"/>
      <c r="H230" s="2"/>
    </row>
    <row r="231" spans="1:8" ht="28.9">
      <c r="A231" s="29"/>
      <c r="B231" s="26" t="s">
        <v>469</v>
      </c>
      <c r="C231" s="22"/>
      <c r="D231" s="13" t="s">
        <v>470</v>
      </c>
      <c r="E231" s="22" t="s">
        <v>471</v>
      </c>
      <c r="F231" s="22"/>
      <c r="G231" s="24" t="s">
        <v>472</v>
      </c>
      <c r="H231" s="2"/>
    </row>
    <row r="232" spans="1:8" ht="28.9">
      <c r="A232" s="29"/>
      <c r="B232" s="29"/>
      <c r="C232" s="2"/>
      <c r="D232" s="45" t="s">
        <v>259</v>
      </c>
      <c r="E232" s="2" t="s">
        <v>473</v>
      </c>
      <c r="F232" s="2"/>
      <c r="G232" s="21" t="s">
        <v>474</v>
      </c>
      <c r="H232" s="2"/>
    </row>
    <row r="233" spans="1:8" ht="28.9">
      <c r="A233" s="29"/>
      <c r="B233" s="29"/>
      <c r="C233" s="2"/>
      <c r="D233" s="15" t="s">
        <v>475</v>
      </c>
      <c r="E233" s="2" t="s">
        <v>476</v>
      </c>
      <c r="F233" s="2"/>
      <c r="G233" s="21" t="s">
        <v>477</v>
      </c>
      <c r="H233" s="2"/>
    </row>
    <row r="234" spans="1:8" ht="28.9">
      <c r="A234" s="29"/>
      <c r="B234" s="29"/>
      <c r="C234" s="2"/>
      <c r="D234" s="15" t="s">
        <v>478</v>
      </c>
      <c r="E234" s="2" t="s">
        <v>479</v>
      </c>
      <c r="F234" s="2"/>
      <c r="G234" s="21" t="s">
        <v>480</v>
      </c>
      <c r="H234" s="2"/>
    </row>
    <row r="235" spans="1:8" ht="28.9">
      <c r="A235" s="29"/>
      <c r="B235" s="29"/>
      <c r="C235" s="2"/>
      <c r="D235" s="15">
        <v>34</v>
      </c>
      <c r="E235" s="2" t="s">
        <v>481</v>
      </c>
      <c r="F235" s="2"/>
      <c r="G235" s="21" t="s">
        <v>482</v>
      </c>
      <c r="H235" s="2"/>
    </row>
    <row r="236" spans="1:8" ht="28.9">
      <c r="A236" s="30"/>
      <c r="B236" s="30"/>
      <c r="C236" s="23"/>
      <c r="D236" s="17">
        <v>19</v>
      </c>
      <c r="E236" s="23" t="s">
        <v>483</v>
      </c>
      <c r="F236" s="23"/>
      <c r="G236" s="25" t="s">
        <v>484</v>
      </c>
      <c r="H236" s="2"/>
    </row>
    <row r="237" spans="1:8">
      <c r="A237" s="2"/>
      <c r="B237" s="2"/>
      <c r="C237" s="2"/>
      <c r="D237" s="2"/>
      <c r="E237" s="2"/>
      <c r="F237" s="2"/>
      <c r="G237" s="2"/>
      <c r="H237" s="2"/>
    </row>
    <row r="238" spans="1:8">
      <c r="A238" s="2"/>
      <c r="B238" s="2"/>
      <c r="C238" s="2"/>
      <c r="D238" s="2"/>
      <c r="E238" s="2"/>
      <c r="F238" s="2"/>
      <c r="G238" s="2"/>
      <c r="H238" s="2"/>
    </row>
    <row r="239" spans="1:8">
      <c r="A239" s="2"/>
      <c r="B239" s="2"/>
      <c r="C239" s="2"/>
      <c r="D239" s="2"/>
      <c r="E239" s="2"/>
      <c r="F239" s="2"/>
      <c r="G239" s="2"/>
      <c r="H239" s="2"/>
    </row>
    <row r="240" spans="1:8">
      <c r="A240" s="2"/>
      <c r="B240" s="2"/>
      <c r="C240" s="2"/>
      <c r="D240" s="2"/>
      <c r="E240" s="2"/>
      <c r="F240" s="2"/>
      <c r="G240" s="2"/>
      <c r="H240" s="2"/>
    </row>
    <row r="241" spans="1:8">
      <c r="A241" s="2"/>
      <c r="B241" s="2"/>
      <c r="C241" s="2"/>
      <c r="D241" s="2"/>
      <c r="E241" s="2"/>
      <c r="F241" s="2"/>
      <c r="G241" s="2"/>
      <c r="H241" s="2"/>
    </row>
    <row r="242" spans="1:8">
      <c r="A242" s="2"/>
      <c r="B242" s="2"/>
      <c r="C242" s="2"/>
      <c r="D242" s="2"/>
      <c r="E242" s="2"/>
      <c r="F242" s="2"/>
      <c r="G242" s="2"/>
      <c r="H242" s="2"/>
    </row>
    <row r="243" spans="1:8">
      <c r="A243" s="2"/>
      <c r="B243" s="2"/>
      <c r="C243" s="2"/>
      <c r="D243" s="2"/>
      <c r="E243" s="2"/>
      <c r="F243" s="2"/>
      <c r="G243" s="2"/>
      <c r="H243" s="2"/>
    </row>
    <row r="244" spans="1:8">
      <c r="A244" s="2"/>
      <c r="B244" s="2"/>
      <c r="C244" s="2"/>
      <c r="D244" s="2"/>
      <c r="E244" s="2"/>
      <c r="F244" s="2"/>
      <c r="G244" s="2"/>
      <c r="H244" s="2"/>
    </row>
    <row r="245" spans="1:8">
      <c r="A245" s="2"/>
      <c r="B245" s="2"/>
      <c r="C245" s="2"/>
      <c r="D245" s="2"/>
      <c r="E245" s="2"/>
      <c r="F245" s="2"/>
      <c r="G245" s="2"/>
      <c r="H245" s="2"/>
    </row>
    <row r="246" spans="1:8">
      <c r="A246" s="2"/>
      <c r="B246" s="2"/>
      <c r="C246" s="2"/>
      <c r="D246" s="2"/>
      <c r="E246" s="2"/>
      <c r="F246" s="2"/>
      <c r="G246" s="2"/>
      <c r="H246" s="2"/>
    </row>
    <row r="247" spans="1:8">
      <c r="A247" s="2"/>
      <c r="B247" s="2"/>
      <c r="C247" s="2"/>
      <c r="D247" s="2"/>
      <c r="E247" s="2"/>
      <c r="F247" s="2"/>
      <c r="G247" s="2"/>
      <c r="H247" s="2"/>
    </row>
    <row r="248" spans="1:8">
      <c r="A248" s="2"/>
      <c r="B248" s="2"/>
      <c r="C248" s="2"/>
      <c r="D248" s="2"/>
      <c r="E248" s="2"/>
      <c r="F248" s="2"/>
      <c r="G248" s="2"/>
      <c r="H248" s="2"/>
    </row>
    <row r="249" spans="1:8">
      <c r="A249" s="2"/>
      <c r="B249" s="2"/>
      <c r="C249" s="2"/>
      <c r="D249" s="2"/>
      <c r="E249" s="2"/>
      <c r="F249" s="2"/>
      <c r="G249" s="2"/>
      <c r="H249" s="2"/>
    </row>
    <row r="250" spans="1:8">
      <c r="A250" s="2"/>
      <c r="B250" s="2"/>
      <c r="C250" s="2"/>
      <c r="D250" s="2"/>
      <c r="E250" s="2"/>
      <c r="F250" s="2"/>
      <c r="G250" s="2"/>
      <c r="H250" s="2"/>
    </row>
    <row r="251" spans="1:8">
      <c r="A251" s="2"/>
      <c r="B251" s="2"/>
      <c r="C251" s="2"/>
      <c r="D251" s="2"/>
      <c r="E251" s="2"/>
      <c r="F251" s="2"/>
      <c r="G251" s="2"/>
      <c r="H251" s="2"/>
    </row>
    <row r="252" spans="1:8">
      <c r="A252" s="2"/>
      <c r="B252" s="2"/>
      <c r="C252" s="2"/>
      <c r="D252" s="2"/>
      <c r="E252" s="2"/>
      <c r="F252" s="2"/>
      <c r="G252" s="2"/>
      <c r="H252" s="2"/>
    </row>
    <row r="253" spans="1:8">
      <c r="A253" s="2"/>
      <c r="B253" s="2"/>
      <c r="C253" s="2"/>
      <c r="D253" s="2"/>
      <c r="E253" s="2"/>
      <c r="F253" s="2"/>
      <c r="G253" s="2"/>
      <c r="H253" s="2"/>
    </row>
    <row r="254" spans="1:8">
      <c r="A254" s="2"/>
      <c r="B254" s="2"/>
      <c r="C254" s="2"/>
      <c r="D254" s="2"/>
      <c r="E254" s="2"/>
      <c r="F254" s="2"/>
      <c r="G254" s="2"/>
    </row>
    <row r="255" spans="1:8">
      <c r="A255" s="2"/>
      <c r="B255" s="2"/>
      <c r="C255" s="2"/>
      <c r="D255" s="2"/>
      <c r="E255" s="2"/>
      <c r="F255" s="2"/>
      <c r="G255" s="2"/>
    </row>
    <row r="256" spans="1:8">
      <c r="A256" s="2"/>
      <c r="B256" s="2"/>
      <c r="C256" s="2"/>
      <c r="D256" s="2"/>
      <c r="E256" s="2"/>
      <c r="F256" s="2"/>
      <c r="G256" s="2"/>
    </row>
    <row r="257" spans="1:7">
      <c r="A257" s="2"/>
      <c r="B257" s="2"/>
      <c r="C257" s="2"/>
      <c r="D257" s="2"/>
      <c r="E257" s="2"/>
      <c r="F257" s="2"/>
      <c r="G257" s="2"/>
    </row>
    <row r="258" spans="1:7">
      <c r="A258" s="2"/>
      <c r="B258" s="2"/>
      <c r="C258" s="2"/>
      <c r="D258" s="2"/>
      <c r="E258" s="2"/>
      <c r="F258" s="2"/>
      <c r="G258" s="2"/>
    </row>
    <row r="259" spans="1:7">
      <c r="A259" s="2"/>
      <c r="B259" s="2"/>
      <c r="C259" s="2"/>
      <c r="D259" s="2"/>
      <c r="E259" s="2"/>
      <c r="F259" s="2"/>
      <c r="G259" s="2"/>
    </row>
    <row r="260" spans="1:7">
      <c r="A260" s="2"/>
      <c r="B260" s="2"/>
      <c r="C260" s="2"/>
      <c r="D260" s="2"/>
      <c r="E260" s="2"/>
      <c r="F260" s="2"/>
      <c r="G260" s="2"/>
    </row>
    <row r="261" spans="1:7">
      <c r="A261" s="2"/>
      <c r="B261" s="2"/>
      <c r="C261" s="2"/>
      <c r="D261" s="2"/>
      <c r="E261" s="2"/>
      <c r="F261" s="2"/>
      <c r="G261" s="2"/>
    </row>
    <row r="262" spans="1:7">
      <c r="A262" s="2"/>
      <c r="B262" s="2"/>
      <c r="C262" s="2"/>
      <c r="D262" s="2"/>
      <c r="E262" s="2"/>
      <c r="F262" s="2"/>
      <c r="G262" s="2"/>
    </row>
    <row r="263" spans="1:7">
      <c r="A263" s="2"/>
      <c r="B263" s="2"/>
      <c r="C263" s="2"/>
      <c r="D263" s="2"/>
      <c r="E263" s="2"/>
      <c r="F263" s="2"/>
      <c r="G263" s="2"/>
    </row>
    <row r="264" spans="1:7">
      <c r="A264" s="2"/>
      <c r="B264" s="2"/>
      <c r="C264" s="2"/>
      <c r="D264" s="2"/>
      <c r="E264" s="2"/>
      <c r="F264" s="2"/>
      <c r="G264" s="2"/>
    </row>
    <row r="265" spans="1:7">
      <c r="A265" s="2"/>
      <c r="B265" s="2"/>
      <c r="C265" s="2"/>
      <c r="D265" s="2"/>
      <c r="E265" s="2"/>
      <c r="F265" s="2"/>
      <c r="G265" s="2"/>
    </row>
    <row r="266" spans="1:7">
      <c r="A266" s="2"/>
      <c r="B266" s="2"/>
      <c r="C266" s="2"/>
      <c r="D266" s="2"/>
      <c r="E266" s="2"/>
      <c r="F266" s="2"/>
      <c r="G266" s="2"/>
    </row>
    <row r="267" spans="1:7">
      <c r="A267" s="2"/>
      <c r="B267" s="2"/>
      <c r="C267" s="2"/>
      <c r="D267" s="2"/>
      <c r="E267" s="2"/>
      <c r="F267" s="2"/>
      <c r="G267" s="2"/>
    </row>
    <row r="268" spans="1:7">
      <c r="A268" s="2"/>
      <c r="B268" s="2"/>
      <c r="C268" s="2"/>
      <c r="D268" s="2"/>
      <c r="E268" s="2"/>
      <c r="F268" s="2"/>
      <c r="G268" s="2"/>
    </row>
    <row r="269" spans="1:7">
      <c r="A269" s="2"/>
      <c r="B269" s="2"/>
      <c r="C269" s="2"/>
      <c r="D269" s="2"/>
      <c r="E269" s="2"/>
      <c r="F269" s="2"/>
      <c r="G269" s="2"/>
    </row>
    <row r="270" spans="1:7">
      <c r="A270" s="2"/>
      <c r="B270" s="2"/>
      <c r="C270" s="2"/>
      <c r="D270" s="2"/>
      <c r="E270" s="2"/>
      <c r="F270" s="2"/>
      <c r="G270" s="2"/>
    </row>
    <row r="271" spans="1:7">
      <c r="A271" s="2"/>
      <c r="B271" s="2"/>
      <c r="C271" s="2"/>
      <c r="D271" s="2"/>
      <c r="E271" s="2"/>
      <c r="F271" s="2"/>
      <c r="G271" s="2"/>
    </row>
    <row r="272" spans="1:7">
      <c r="A272" s="2"/>
      <c r="B272" s="2"/>
      <c r="C272" s="2"/>
      <c r="D272" s="2"/>
      <c r="E272" s="2"/>
      <c r="F272" s="2"/>
      <c r="G272" s="2"/>
    </row>
    <row r="273" spans="1:7">
      <c r="A273" s="2"/>
      <c r="B273" s="2"/>
      <c r="C273" s="2"/>
      <c r="D273" s="2"/>
      <c r="E273" s="2"/>
      <c r="F273" s="2"/>
      <c r="G273" s="2"/>
    </row>
    <row r="274" spans="1:7">
      <c r="A274" s="2"/>
      <c r="B274" s="2"/>
      <c r="C274" s="2"/>
      <c r="D274" s="2"/>
      <c r="E274" s="2"/>
      <c r="F274" s="2"/>
      <c r="G274" s="2"/>
    </row>
    <row r="275" spans="1:7">
      <c r="A275" s="2"/>
      <c r="B275" s="2"/>
      <c r="C275" s="2"/>
      <c r="D275" s="2"/>
      <c r="E275" s="2"/>
      <c r="F275" s="2"/>
      <c r="G275" s="2"/>
    </row>
    <row r="276" spans="1:7">
      <c r="A276" s="2"/>
      <c r="B276" s="2"/>
      <c r="C276" s="2"/>
      <c r="D276" s="2"/>
      <c r="E276" s="2"/>
      <c r="F276" s="2"/>
      <c r="G276" s="2"/>
    </row>
    <row r="277" spans="1:7">
      <c r="A277" s="2"/>
      <c r="B277" s="2"/>
      <c r="C277" s="2"/>
      <c r="D277" s="2"/>
      <c r="E277" s="2"/>
      <c r="F277" s="2"/>
      <c r="G277" s="2"/>
    </row>
    <row r="278" spans="1:7">
      <c r="A278" s="2"/>
      <c r="B278" s="2"/>
      <c r="C278" s="2"/>
      <c r="D278" s="2"/>
      <c r="E278" s="2"/>
      <c r="F278" s="2"/>
      <c r="G278" s="2"/>
    </row>
    <row r="279" spans="1:7">
      <c r="A279" s="2"/>
      <c r="B279" s="2"/>
      <c r="C279" s="2"/>
      <c r="D279" s="2"/>
      <c r="E279" s="2"/>
      <c r="F279" s="2"/>
      <c r="G279" s="2"/>
    </row>
    <row r="280" spans="1:7">
      <c r="A280" s="2"/>
      <c r="B280" s="2"/>
      <c r="C280" s="2"/>
      <c r="D280" s="2"/>
      <c r="E280" s="2"/>
      <c r="F280" s="2"/>
      <c r="G280" s="2"/>
    </row>
    <row r="281" spans="1:7">
      <c r="A281" s="2"/>
      <c r="B281" s="2"/>
      <c r="C281" s="2"/>
      <c r="D281" s="2"/>
      <c r="E281" s="2"/>
      <c r="F281" s="2"/>
      <c r="G281" s="2"/>
    </row>
    <row r="282" spans="1:7">
      <c r="A282" s="2"/>
      <c r="B282" s="2"/>
      <c r="C282" s="2"/>
      <c r="D282" s="2"/>
      <c r="E282" s="2"/>
      <c r="F282" s="2"/>
      <c r="G282" s="2"/>
    </row>
    <row r="283" spans="1:7">
      <c r="A283" s="2"/>
      <c r="B283" s="2"/>
      <c r="C283" s="2"/>
      <c r="D283" s="2"/>
      <c r="E283" s="2"/>
      <c r="F283" s="2"/>
      <c r="G283" s="2"/>
    </row>
    <row r="284" spans="1:7">
      <c r="A284" s="2"/>
      <c r="B284" s="2"/>
      <c r="C284" s="2"/>
      <c r="D284" s="2"/>
      <c r="E284" s="2"/>
      <c r="F284" s="2"/>
      <c r="G284" s="2"/>
    </row>
    <row r="285" spans="1:7">
      <c r="A285" s="2"/>
      <c r="B285" s="2"/>
      <c r="C285" s="2"/>
      <c r="D285" s="2"/>
      <c r="E285" s="2"/>
      <c r="F285" s="2"/>
      <c r="G285" s="2"/>
    </row>
    <row r="286" spans="1:7">
      <c r="A286" s="2"/>
      <c r="B286" s="2"/>
      <c r="C286" s="2"/>
      <c r="D286" s="2"/>
      <c r="E286" s="2"/>
      <c r="F286" s="2"/>
      <c r="G286" s="2"/>
    </row>
    <row r="287" spans="1:7">
      <c r="A287" s="2"/>
      <c r="B287" s="2"/>
      <c r="C287" s="2"/>
      <c r="D287" s="2"/>
      <c r="E287" s="2"/>
      <c r="F287" s="2"/>
      <c r="G287" s="2"/>
    </row>
    <row r="288" spans="1:7">
      <c r="A288" s="2"/>
      <c r="B288" s="2"/>
      <c r="C288" s="2"/>
      <c r="D288" s="2"/>
      <c r="E288" s="2"/>
      <c r="F288" s="2"/>
      <c r="G288" s="2"/>
    </row>
    <row r="289" spans="1:7">
      <c r="A289" s="2"/>
      <c r="B289" s="2"/>
      <c r="C289" s="2"/>
      <c r="D289" s="2"/>
      <c r="E289" s="2"/>
      <c r="F289" s="2"/>
      <c r="G289" s="2"/>
    </row>
    <row r="290" spans="1:7">
      <c r="A290" s="2"/>
      <c r="B290" s="2"/>
      <c r="C290" s="2"/>
      <c r="D290" s="2"/>
      <c r="E290" s="2"/>
      <c r="F290" s="2"/>
      <c r="G290" s="2"/>
    </row>
    <row r="291" spans="1:7">
      <c r="A291" s="2"/>
      <c r="B291" s="2"/>
      <c r="C291" s="2"/>
      <c r="D291" s="2"/>
      <c r="E291" s="2"/>
      <c r="F291" s="2"/>
      <c r="G291" s="2"/>
    </row>
    <row r="292" spans="1:7">
      <c r="A292" s="2"/>
      <c r="B292" s="2"/>
      <c r="C292" s="2"/>
      <c r="D292" s="2"/>
      <c r="E292" s="2"/>
      <c r="F292" s="2"/>
      <c r="G292" s="2"/>
    </row>
    <row r="293" spans="1:7">
      <c r="A293" s="2"/>
      <c r="B293" s="2"/>
      <c r="C293" s="2"/>
      <c r="D293" s="2"/>
      <c r="E293" s="2"/>
      <c r="F293" s="2"/>
      <c r="G293" s="2"/>
    </row>
    <row r="294" spans="1:7">
      <c r="A294" s="2"/>
      <c r="B294" s="2"/>
      <c r="C294" s="2"/>
      <c r="D294" s="2"/>
      <c r="E294" s="2"/>
      <c r="F294" s="2"/>
      <c r="G294" s="2"/>
    </row>
    <row r="295" spans="1:7">
      <c r="A295" s="2"/>
      <c r="B295" s="2"/>
      <c r="C295" s="2"/>
      <c r="D295" s="2"/>
      <c r="E295" s="2"/>
      <c r="F295" s="2"/>
      <c r="G295" s="2"/>
    </row>
    <row r="296" spans="1:7">
      <c r="A296" s="2"/>
      <c r="B296" s="2"/>
      <c r="C296" s="2"/>
      <c r="D296" s="2"/>
      <c r="E296" s="2"/>
      <c r="F296" s="2"/>
      <c r="G296" s="2"/>
    </row>
    <row r="297" spans="1:7">
      <c r="A297" s="2"/>
      <c r="B297" s="2"/>
      <c r="C297" s="2"/>
      <c r="D297" s="2"/>
      <c r="E297" s="2"/>
      <c r="F297" s="2"/>
      <c r="G297" s="2"/>
    </row>
    <row r="298" spans="1:7">
      <c r="A298" s="2"/>
      <c r="B298" s="2"/>
      <c r="C298" s="2"/>
      <c r="D298" s="2"/>
      <c r="E298" s="2"/>
      <c r="F298" s="2"/>
      <c r="G298" s="2"/>
    </row>
    <row r="299" spans="1:7">
      <c r="A299" s="2"/>
      <c r="B299" s="2"/>
      <c r="C299" s="2"/>
      <c r="D299" s="2"/>
      <c r="E299" s="2"/>
      <c r="F299" s="2"/>
      <c r="G299" s="2"/>
    </row>
    <row r="300" spans="1:7">
      <c r="A300" s="2"/>
      <c r="B300" s="2"/>
      <c r="C300" s="2"/>
      <c r="D300" s="2"/>
      <c r="E300" s="2"/>
      <c r="F300" s="2"/>
      <c r="G300" s="2"/>
    </row>
    <row r="301" spans="1:7">
      <c r="A301" s="2"/>
      <c r="B301" s="2"/>
      <c r="C301" s="2"/>
      <c r="D301" s="2"/>
      <c r="E301" s="2"/>
      <c r="F301" s="2"/>
      <c r="G301" s="2"/>
    </row>
    <row r="302" spans="1:7">
      <c r="A302" s="2"/>
      <c r="B302" s="2"/>
      <c r="C302" s="2"/>
      <c r="D302" s="2"/>
      <c r="E302" s="2"/>
      <c r="F302" s="2"/>
      <c r="G302" s="2"/>
    </row>
    <row r="303" spans="1:7">
      <c r="A303" s="2"/>
      <c r="B303" s="2"/>
      <c r="C303" s="2"/>
      <c r="D303" s="2"/>
      <c r="E303" s="2"/>
      <c r="F303" s="2"/>
      <c r="G303" s="2"/>
    </row>
    <row r="304" spans="1:7">
      <c r="A304" s="2"/>
      <c r="B304" s="2"/>
      <c r="C304" s="2"/>
      <c r="D304" s="2"/>
      <c r="E304" s="2"/>
      <c r="F304" s="2"/>
      <c r="G304" s="2"/>
    </row>
    <row r="305" spans="1:7">
      <c r="A305" s="2"/>
      <c r="B305" s="2"/>
      <c r="C305" s="2"/>
      <c r="D305" s="2"/>
      <c r="E305" s="2"/>
      <c r="F305" s="2"/>
      <c r="G305" s="2"/>
    </row>
    <row r="306" spans="1:7">
      <c r="A306" s="2"/>
      <c r="B306" s="2"/>
      <c r="C306" s="2"/>
      <c r="D306" s="2"/>
      <c r="E306" s="2"/>
      <c r="F306" s="2"/>
      <c r="G306" s="2"/>
    </row>
    <row r="307" spans="1:7">
      <c r="A307" s="2"/>
      <c r="B307" s="2"/>
      <c r="C307" s="2"/>
      <c r="D307" s="2"/>
      <c r="E307" s="2"/>
      <c r="F307" s="2"/>
      <c r="G307" s="2"/>
    </row>
    <row r="308" spans="1:7">
      <c r="A308" s="2"/>
      <c r="B308" s="2"/>
      <c r="C308" s="2"/>
      <c r="D308" s="2"/>
      <c r="E308" s="2"/>
      <c r="F308" s="2"/>
      <c r="G308" s="2"/>
    </row>
    <row r="309" spans="1:7">
      <c r="A309" s="2"/>
      <c r="B309" s="2"/>
      <c r="C309" s="2"/>
      <c r="D309" s="2"/>
      <c r="E309" s="2"/>
      <c r="F309" s="2"/>
      <c r="G309" s="2"/>
    </row>
    <row r="310" spans="1:7">
      <c r="A310" s="2"/>
      <c r="B310" s="2"/>
      <c r="C310" s="2"/>
      <c r="D310" s="2"/>
      <c r="E310" s="2"/>
      <c r="F310" s="2"/>
      <c r="G310" s="2"/>
    </row>
    <row r="311" spans="1:7">
      <c r="A311" s="2"/>
      <c r="B311" s="2"/>
      <c r="C311" s="2"/>
      <c r="D311" s="2"/>
      <c r="E311" s="2"/>
      <c r="F311" s="2"/>
      <c r="G311" s="2"/>
    </row>
    <row r="312" spans="1:7">
      <c r="A312" s="2"/>
      <c r="B312" s="2"/>
      <c r="C312" s="2"/>
      <c r="D312" s="2"/>
      <c r="E312" s="2"/>
      <c r="F312" s="2"/>
      <c r="G312" s="2"/>
    </row>
    <row r="313" spans="1:7">
      <c r="A313" s="2"/>
      <c r="B313" s="2"/>
      <c r="C313" s="2"/>
      <c r="D313" s="2"/>
      <c r="E313" s="2"/>
      <c r="F313" s="2"/>
      <c r="G313" s="2"/>
    </row>
    <row r="314" spans="1:7">
      <c r="A314" s="2"/>
      <c r="B314" s="2"/>
      <c r="C314" s="2"/>
      <c r="D314" s="2"/>
      <c r="E314" s="2"/>
      <c r="F314" s="2"/>
      <c r="G314" s="2"/>
    </row>
    <row r="315" spans="1:7">
      <c r="A315" s="2"/>
      <c r="B315" s="2"/>
      <c r="C315" s="2"/>
      <c r="D315" s="2"/>
      <c r="E315" s="2"/>
      <c r="F315" s="2"/>
      <c r="G315" s="2"/>
    </row>
    <row r="316" spans="1:7">
      <c r="A316" s="2"/>
      <c r="B316" s="2"/>
      <c r="C316" s="2"/>
      <c r="D316" s="2"/>
      <c r="E316" s="2"/>
      <c r="F316" s="2"/>
      <c r="G316" s="2"/>
    </row>
    <row r="317" spans="1:7">
      <c r="A317" s="2"/>
      <c r="B317" s="2"/>
      <c r="C317" s="2"/>
      <c r="D317" s="2"/>
      <c r="E317" s="2"/>
      <c r="F317" s="2"/>
      <c r="G317" s="2"/>
    </row>
    <row r="318" spans="1:7">
      <c r="A318" s="2"/>
      <c r="B318" s="2"/>
      <c r="C318" s="2"/>
      <c r="D318" s="2"/>
      <c r="E318" s="2"/>
      <c r="F318" s="2"/>
      <c r="G318" s="2"/>
    </row>
    <row r="319" spans="1:7">
      <c r="A319" s="2"/>
      <c r="B319" s="2"/>
      <c r="C319" s="2"/>
      <c r="D319" s="2"/>
      <c r="E319" s="2"/>
      <c r="F319" s="2"/>
      <c r="G319" s="2"/>
    </row>
    <row r="320" spans="1:7">
      <c r="A320" s="2"/>
      <c r="B320" s="2"/>
      <c r="C320" s="2"/>
      <c r="D320" s="2"/>
      <c r="E320" s="2"/>
      <c r="F320" s="2"/>
      <c r="G320" s="2"/>
    </row>
    <row r="321" spans="1:7">
      <c r="A321" s="2"/>
      <c r="B321" s="2"/>
      <c r="C321" s="2"/>
      <c r="D321" s="2"/>
      <c r="E321" s="2"/>
      <c r="F321" s="2"/>
      <c r="G321" s="2"/>
    </row>
    <row r="322" spans="1:7">
      <c r="A322" s="2"/>
      <c r="B322" s="2"/>
      <c r="C322" s="2"/>
      <c r="D322" s="2"/>
      <c r="E322" s="2"/>
      <c r="F322" s="2"/>
      <c r="G322" s="2"/>
    </row>
    <row r="323" spans="1:7">
      <c r="A323" s="2"/>
      <c r="B323" s="2"/>
      <c r="C323" s="2"/>
      <c r="D323" s="2"/>
      <c r="E323" s="2"/>
      <c r="F323" s="2"/>
      <c r="G323" s="2"/>
    </row>
    <row r="324" spans="1:7">
      <c r="A324" s="2"/>
      <c r="B324" s="2"/>
      <c r="C324" s="2"/>
      <c r="D324" s="2"/>
      <c r="E324" s="2"/>
      <c r="F324" s="2"/>
      <c r="G324" s="2"/>
    </row>
    <row r="325" spans="1:7">
      <c r="A325" s="2"/>
      <c r="B325" s="2"/>
      <c r="C325" s="2"/>
      <c r="D325" s="2"/>
      <c r="E325" s="2"/>
      <c r="F325" s="2"/>
      <c r="G325" s="2"/>
    </row>
    <row r="326" spans="1:7">
      <c r="A326" s="2"/>
      <c r="B326" s="2"/>
      <c r="C326" s="2"/>
      <c r="D326" s="2"/>
      <c r="E326" s="2"/>
      <c r="F326" s="2"/>
      <c r="G326" s="2"/>
    </row>
    <row r="327" spans="1:7">
      <c r="A327" s="2"/>
      <c r="B327" s="2"/>
      <c r="C327" s="2"/>
      <c r="D327" s="2"/>
      <c r="E327" s="2"/>
      <c r="F327" s="2"/>
      <c r="G327" s="2"/>
    </row>
    <row r="328" spans="1:7">
      <c r="A328" s="2"/>
      <c r="B328" s="2"/>
      <c r="C328" s="2"/>
      <c r="D328" s="2"/>
      <c r="E328" s="2"/>
      <c r="F328" s="2"/>
      <c r="G328" s="2"/>
    </row>
    <row r="329" spans="1:7">
      <c r="A329" s="2"/>
      <c r="B329" s="2"/>
      <c r="C329" s="2"/>
      <c r="D329" s="2"/>
      <c r="E329" s="2"/>
      <c r="F329" s="2"/>
      <c r="G329" s="2"/>
    </row>
    <row r="330" spans="1:7">
      <c r="A330" s="2"/>
      <c r="B330" s="2"/>
      <c r="C330" s="2"/>
      <c r="D330" s="2"/>
      <c r="E330" s="2"/>
      <c r="F330" s="2"/>
      <c r="G330" s="2"/>
    </row>
    <row r="331" spans="1:7">
      <c r="A331" s="2"/>
      <c r="B331" s="2"/>
      <c r="C331" s="2"/>
      <c r="D331" s="2"/>
      <c r="E331" s="2"/>
      <c r="F331" s="2"/>
      <c r="G331" s="2"/>
    </row>
    <row r="332" spans="1:7">
      <c r="A332" s="2"/>
      <c r="B332" s="2"/>
      <c r="C332" s="2"/>
      <c r="D332" s="2"/>
      <c r="E332" s="2"/>
      <c r="F332" s="2"/>
      <c r="G332" s="2"/>
    </row>
    <row r="333" spans="1:7">
      <c r="A333" s="2"/>
      <c r="B333" s="2"/>
      <c r="C333" s="2"/>
      <c r="D333" s="2"/>
      <c r="E333" s="2"/>
      <c r="F333" s="2"/>
      <c r="G333" s="2"/>
    </row>
    <row r="334" spans="1:7">
      <c r="A334" s="2"/>
      <c r="B334" s="2"/>
      <c r="C334" s="2"/>
      <c r="D334" s="2"/>
      <c r="E334" s="2"/>
      <c r="F334" s="2"/>
      <c r="G334" s="2"/>
    </row>
    <row r="335" spans="1:7">
      <c r="A335" s="2"/>
      <c r="B335" s="2"/>
      <c r="C335" s="2"/>
      <c r="D335" s="2"/>
      <c r="E335" s="2"/>
      <c r="F335" s="2"/>
      <c r="G335" s="2"/>
    </row>
    <row r="336" spans="1:7">
      <c r="A336" s="2"/>
      <c r="B336" s="2"/>
      <c r="C336" s="2"/>
      <c r="D336" s="2"/>
      <c r="E336" s="2"/>
      <c r="F336" s="2"/>
      <c r="G336" s="2"/>
    </row>
    <row r="337" spans="1:7">
      <c r="A337" s="2"/>
      <c r="B337" s="2"/>
      <c r="C337" s="2"/>
      <c r="D337" s="2"/>
      <c r="E337" s="2"/>
      <c r="F337" s="2"/>
      <c r="G337" s="2"/>
    </row>
    <row r="338" spans="1:7">
      <c r="A338" s="2"/>
      <c r="B338" s="2"/>
      <c r="C338" s="2"/>
      <c r="D338" s="2"/>
      <c r="E338" s="2"/>
      <c r="F338" s="2"/>
      <c r="G338" s="2"/>
    </row>
    <row r="339" spans="1:7">
      <c r="A339" s="2"/>
      <c r="B339" s="2"/>
      <c r="C339" s="2"/>
      <c r="D339" s="2"/>
      <c r="E339" s="2"/>
      <c r="F339" s="2"/>
      <c r="G339" s="2"/>
    </row>
    <row r="340" spans="1:7">
      <c r="A340" s="2"/>
      <c r="B340" s="2"/>
      <c r="C340" s="2"/>
      <c r="D340" s="2"/>
      <c r="E340" s="2"/>
      <c r="F340" s="2"/>
      <c r="G340" s="2"/>
    </row>
    <row r="341" spans="1:7">
      <c r="A341" s="2"/>
      <c r="B341" s="2"/>
      <c r="C341" s="2"/>
      <c r="D341" s="2"/>
      <c r="E341" s="2"/>
      <c r="F341" s="2"/>
      <c r="G341" s="2"/>
    </row>
    <row r="342" spans="1:7">
      <c r="A342" s="2"/>
      <c r="B342" s="2"/>
      <c r="C342" s="2"/>
      <c r="D342" s="2"/>
      <c r="E342" s="2"/>
      <c r="F342" s="2"/>
      <c r="G342" s="2"/>
    </row>
    <row r="343" spans="1:7">
      <c r="A343" s="2"/>
      <c r="B343" s="2"/>
      <c r="C343" s="2"/>
      <c r="D343" s="2"/>
      <c r="E343" s="2"/>
      <c r="F343" s="2"/>
      <c r="G343" s="2"/>
    </row>
    <row r="344" spans="1:7">
      <c r="A344" s="2"/>
      <c r="B344" s="2"/>
      <c r="C344" s="2"/>
      <c r="D344" s="2"/>
      <c r="E344" s="2"/>
      <c r="F344" s="2"/>
      <c r="G344" s="2"/>
    </row>
    <row r="345" spans="1:7">
      <c r="A345" s="2"/>
      <c r="B345" s="2"/>
      <c r="C345" s="2"/>
      <c r="D345" s="2"/>
      <c r="E345" s="2"/>
      <c r="F345" s="2"/>
      <c r="G345" s="2"/>
    </row>
    <row r="346" spans="1:7">
      <c r="A346" s="2"/>
      <c r="B346" s="2"/>
      <c r="C346" s="2"/>
      <c r="D346" s="2"/>
      <c r="E346" s="2"/>
      <c r="F346" s="2"/>
      <c r="G346" s="2"/>
    </row>
    <row r="347" spans="1:7">
      <c r="A347" s="2"/>
      <c r="B347" s="2"/>
      <c r="C347" s="2"/>
      <c r="D347" s="2"/>
      <c r="E347" s="2"/>
      <c r="F347" s="2"/>
      <c r="G347" s="2"/>
    </row>
    <row r="348" spans="1:7">
      <c r="A348" s="2"/>
      <c r="B348" s="2"/>
      <c r="C348" s="2"/>
      <c r="D348" s="2"/>
      <c r="E348" s="2"/>
      <c r="F348" s="2"/>
      <c r="G348" s="2"/>
    </row>
    <row r="349" spans="1:7">
      <c r="A349" s="2"/>
      <c r="B349" s="2"/>
      <c r="C349" s="2"/>
      <c r="D349" s="2"/>
      <c r="E349" s="2"/>
      <c r="F349" s="2"/>
      <c r="G349" s="2"/>
    </row>
    <row r="350" spans="1:7">
      <c r="A350" s="2"/>
      <c r="B350" s="2"/>
      <c r="C350" s="2"/>
      <c r="D350" s="2"/>
      <c r="E350" s="2"/>
      <c r="F350" s="2"/>
      <c r="G350" s="2"/>
    </row>
    <row r="351" spans="1:7">
      <c r="A351" s="2"/>
      <c r="B351" s="2"/>
      <c r="C351" s="2"/>
      <c r="D351" s="2"/>
      <c r="E351" s="2"/>
      <c r="F351" s="2"/>
      <c r="G351" s="2"/>
    </row>
    <row r="352" spans="1:7">
      <c r="A352" s="2"/>
      <c r="B352" s="2"/>
      <c r="C352" s="2"/>
      <c r="D352" s="2"/>
      <c r="E352" s="2"/>
      <c r="F352" s="2"/>
      <c r="G352" s="2"/>
    </row>
    <row r="353" spans="1:7">
      <c r="A353" s="2"/>
      <c r="B353" s="2"/>
      <c r="C353" s="2"/>
      <c r="D353" s="2"/>
      <c r="E353" s="2"/>
      <c r="F353" s="2"/>
      <c r="G353" s="2"/>
    </row>
    <row r="354" spans="1:7">
      <c r="A354" s="2"/>
      <c r="B354" s="2"/>
      <c r="C354" s="2"/>
      <c r="D354" s="2"/>
      <c r="E354" s="2"/>
      <c r="F354" s="2"/>
      <c r="G354" s="2"/>
    </row>
    <row r="355" spans="1:7">
      <c r="A355" s="2"/>
      <c r="B355" s="2"/>
      <c r="C355" s="2"/>
      <c r="D355" s="2"/>
      <c r="E355" s="2"/>
      <c r="F355" s="2"/>
      <c r="G355" s="2"/>
    </row>
    <row r="356" spans="1:7">
      <c r="A356" s="2"/>
      <c r="B356" s="2"/>
      <c r="C356" s="2"/>
      <c r="D356" s="2"/>
      <c r="E356" s="2"/>
      <c r="F356" s="2"/>
      <c r="G356" s="2"/>
    </row>
    <row r="357" spans="1:7">
      <c r="A357" s="2"/>
      <c r="B357" s="2"/>
      <c r="C357" s="2"/>
      <c r="D357" s="2"/>
      <c r="E357" s="2"/>
      <c r="F357" s="2"/>
      <c r="G357" s="2"/>
    </row>
    <row r="358" spans="1:7">
      <c r="A358" s="2"/>
      <c r="B358" s="2"/>
      <c r="C358" s="2"/>
      <c r="D358" s="2"/>
      <c r="E358" s="2"/>
      <c r="F358" s="2"/>
      <c r="G358" s="2"/>
    </row>
    <row r="359" spans="1:7">
      <c r="A359" s="2"/>
      <c r="B359" s="2"/>
      <c r="C359" s="2"/>
      <c r="D359" s="2"/>
      <c r="E359" s="2"/>
      <c r="F359" s="2"/>
      <c r="G359" s="2"/>
    </row>
    <row r="360" spans="1:7">
      <c r="A360" s="2"/>
      <c r="B360" s="2"/>
      <c r="C360" s="2"/>
      <c r="D360" s="2"/>
      <c r="E360" s="2"/>
      <c r="F360" s="2"/>
      <c r="G360" s="2"/>
    </row>
    <row r="361" spans="1:7">
      <c r="A361" s="2"/>
      <c r="B361" s="2"/>
      <c r="C361" s="2"/>
      <c r="D361" s="2"/>
      <c r="E361" s="2"/>
      <c r="F361" s="2"/>
      <c r="G361" s="2"/>
    </row>
    <row r="362" spans="1:7">
      <c r="A362" s="2"/>
      <c r="B362" s="2"/>
      <c r="C362" s="2"/>
      <c r="D362" s="2"/>
      <c r="E362" s="2"/>
      <c r="F362" s="2"/>
      <c r="G362" s="2"/>
    </row>
    <row r="363" spans="1:7">
      <c r="A363" s="2"/>
      <c r="B363" s="2"/>
      <c r="C363" s="2"/>
      <c r="D363" s="2"/>
      <c r="E363" s="2"/>
      <c r="F363" s="2"/>
      <c r="G363" s="2"/>
    </row>
    <row r="364" spans="1:7">
      <c r="A364" s="2"/>
      <c r="B364" s="2"/>
      <c r="C364" s="2"/>
      <c r="D364" s="2"/>
      <c r="E364" s="2"/>
      <c r="F364" s="2"/>
      <c r="G364" s="2"/>
    </row>
    <row r="365" spans="1:7">
      <c r="A365" s="2"/>
      <c r="B365" s="2"/>
      <c r="C365" s="2"/>
      <c r="D365" s="2"/>
      <c r="E365" s="2"/>
      <c r="F365" s="2"/>
      <c r="G365" s="2"/>
    </row>
    <row r="366" spans="1:7">
      <c r="A366" s="2"/>
      <c r="B366" s="2"/>
      <c r="C366" s="2"/>
      <c r="D366" s="2"/>
      <c r="E366" s="2"/>
      <c r="F366" s="2"/>
      <c r="G366" s="2"/>
    </row>
    <row r="367" spans="1:7">
      <c r="A367" s="2"/>
      <c r="B367" s="2"/>
      <c r="C367" s="2"/>
      <c r="D367" s="2"/>
      <c r="E367" s="2"/>
      <c r="F367" s="2"/>
      <c r="G367" s="2"/>
    </row>
    <row r="368" spans="1:7">
      <c r="A368" s="2"/>
      <c r="B368" s="2"/>
      <c r="C368" s="2"/>
      <c r="D368" s="2"/>
      <c r="E368" s="2"/>
      <c r="F368" s="2"/>
      <c r="G368" s="2"/>
    </row>
    <row r="369" spans="1:7">
      <c r="A369" s="2"/>
      <c r="B369" s="2"/>
      <c r="C369" s="2"/>
      <c r="D369" s="2"/>
      <c r="E369" s="2"/>
      <c r="F369" s="2"/>
      <c r="G369" s="2"/>
    </row>
    <row r="370" spans="1:7">
      <c r="A370" s="2"/>
      <c r="B370" s="2"/>
      <c r="C370" s="2"/>
      <c r="D370" s="2"/>
      <c r="E370" s="2"/>
      <c r="F370" s="2"/>
      <c r="G370" s="2"/>
    </row>
    <row r="371" spans="1:7">
      <c r="A371" s="2"/>
      <c r="B371" s="2"/>
      <c r="C371" s="2"/>
      <c r="D371" s="2"/>
      <c r="E371" s="2"/>
      <c r="F371" s="2"/>
      <c r="G371" s="2"/>
    </row>
    <row r="372" spans="1:7">
      <c r="A372" s="2"/>
      <c r="B372" s="2"/>
      <c r="C372" s="2"/>
      <c r="D372" s="2"/>
      <c r="E372" s="2"/>
      <c r="F372" s="2"/>
      <c r="G372" s="2"/>
    </row>
    <row r="373" spans="1:7">
      <c r="A373" s="2"/>
      <c r="B373" s="2"/>
      <c r="C373" s="2"/>
      <c r="D373" s="2"/>
      <c r="E373" s="2"/>
      <c r="F373" s="2"/>
      <c r="G373" s="2"/>
    </row>
    <row r="374" spans="1:7">
      <c r="A374" s="2"/>
      <c r="B374" s="2"/>
      <c r="C374" s="2"/>
      <c r="D374" s="2"/>
      <c r="E374" s="2"/>
      <c r="F374" s="2"/>
      <c r="G374" s="2"/>
    </row>
    <row r="375" spans="1:7">
      <c r="A375" s="2"/>
      <c r="B375" s="2"/>
      <c r="C375" s="2"/>
      <c r="D375" s="2"/>
      <c r="E375" s="2"/>
      <c r="F375" s="2"/>
      <c r="G375" s="2"/>
    </row>
    <row r="376" spans="1:7">
      <c r="A376" s="2"/>
      <c r="B376" s="2"/>
      <c r="C376" s="2"/>
      <c r="D376" s="2"/>
      <c r="E376" s="2"/>
      <c r="F376" s="2"/>
      <c r="G376" s="2"/>
    </row>
    <row r="377" spans="1:7">
      <c r="A377" s="2"/>
      <c r="B377" s="2"/>
      <c r="C377" s="2"/>
      <c r="D377" s="2"/>
      <c r="E377" s="2"/>
      <c r="F377" s="2"/>
      <c r="G377" s="2"/>
    </row>
    <row r="378" spans="1:7">
      <c r="A378" s="2"/>
      <c r="B378" s="2"/>
      <c r="C378" s="2"/>
      <c r="D378" s="2"/>
      <c r="E378" s="2"/>
      <c r="F378" s="2"/>
      <c r="G378" s="2"/>
    </row>
    <row r="379" spans="1:7">
      <c r="A379" s="2"/>
      <c r="B379" s="2"/>
      <c r="C379" s="2"/>
      <c r="D379" s="2"/>
      <c r="E379" s="2"/>
      <c r="F379" s="2"/>
      <c r="G379" s="2"/>
    </row>
    <row r="380" spans="1:7">
      <c r="A380" s="2"/>
      <c r="B380" s="2"/>
      <c r="C380" s="2"/>
      <c r="D380" s="2"/>
      <c r="E380" s="2"/>
      <c r="F380" s="2"/>
      <c r="G380" s="2"/>
    </row>
    <row r="381" spans="1:7">
      <c r="A381" s="2"/>
      <c r="B381" s="2"/>
      <c r="C381" s="2"/>
      <c r="D381" s="2"/>
      <c r="E381" s="2"/>
      <c r="F381" s="2"/>
      <c r="G381" s="2"/>
    </row>
    <row r="382" spans="1:7">
      <c r="A382" s="2"/>
      <c r="B382" s="2"/>
      <c r="C382" s="2"/>
      <c r="D382" s="2"/>
      <c r="E382" s="2"/>
      <c r="F382" s="2"/>
      <c r="G382" s="2"/>
    </row>
    <row r="383" spans="1:7">
      <c r="A383" s="2"/>
      <c r="B383" s="2"/>
      <c r="C383" s="2"/>
      <c r="D383" s="2"/>
      <c r="E383" s="2"/>
      <c r="F383" s="2"/>
      <c r="G383" s="2"/>
    </row>
    <row r="384" spans="1:7">
      <c r="A384" s="2"/>
      <c r="B384" s="2"/>
      <c r="C384" s="2"/>
      <c r="D384" s="2"/>
      <c r="E384" s="2"/>
      <c r="F384" s="2"/>
      <c r="G384" s="2"/>
    </row>
    <row r="385" spans="1:7">
      <c r="A385" s="2"/>
      <c r="B385" s="2"/>
      <c r="C385" s="2"/>
      <c r="D385" s="2"/>
      <c r="E385" s="2"/>
      <c r="F385" s="2"/>
      <c r="G385" s="2"/>
    </row>
    <row r="386" spans="1:7">
      <c r="A386" s="2"/>
      <c r="B386" s="2"/>
      <c r="C386" s="2"/>
      <c r="D386" s="2"/>
      <c r="E386" s="2"/>
      <c r="F386" s="2"/>
      <c r="G386" s="2"/>
    </row>
    <row r="387" spans="1:7">
      <c r="A387" s="2"/>
      <c r="B387" s="2"/>
      <c r="C387" s="2"/>
      <c r="D387" s="2"/>
      <c r="E387" s="2"/>
      <c r="F387" s="2"/>
      <c r="G387" s="2"/>
    </row>
    <row r="388" spans="1:7">
      <c r="A388" s="2"/>
      <c r="B388" s="2"/>
      <c r="C388" s="2"/>
      <c r="D388" s="2"/>
      <c r="E388" s="2"/>
      <c r="F388" s="2"/>
      <c r="G388" s="2"/>
    </row>
    <row r="389" spans="1:7">
      <c r="A389" s="2"/>
      <c r="B389" s="2"/>
      <c r="C389" s="2"/>
      <c r="D389" s="2"/>
      <c r="E389" s="2"/>
      <c r="F389" s="2"/>
      <c r="G389" s="2"/>
    </row>
    <row r="390" spans="1:7">
      <c r="A390" s="2"/>
      <c r="B390" s="2"/>
      <c r="C390" s="2"/>
      <c r="D390" s="2"/>
      <c r="E390" s="2"/>
      <c r="F390" s="2"/>
      <c r="G390" s="2"/>
    </row>
    <row r="391" spans="1:7">
      <c r="A391" s="2"/>
      <c r="B391" s="2"/>
      <c r="C391" s="2"/>
      <c r="D391" s="2"/>
      <c r="E391" s="2"/>
      <c r="F391" s="2"/>
      <c r="G391" s="2"/>
    </row>
    <row r="392" spans="1:7">
      <c r="A392" s="2"/>
      <c r="B392" s="2"/>
      <c r="C392" s="2"/>
      <c r="D392" s="2"/>
      <c r="E392" s="2"/>
      <c r="F392" s="2"/>
      <c r="G392" s="2"/>
    </row>
    <row r="393" spans="1:7">
      <c r="A393" s="2"/>
      <c r="B393" s="2"/>
      <c r="C393" s="2"/>
      <c r="D393" s="2"/>
      <c r="E393" s="2"/>
      <c r="F393" s="2"/>
      <c r="G393" s="2"/>
    </row>
    <row r="394" spans="1:7">
      <c r="A394" s="2"/>
      <c r="B394" s="2"/>
      <c r="C394" s="2"/>
      <c r="D394" s="2"/>
      <c r="E394" s="2"/>
      <c r="F394" s="2"/>
      <c r="G394" s="2"/>
    </row>
    <row r="395" spans="1:7">
      <c r="A395" s="2"/>
      <c r="B395" s="2"/>
      <c r="C395" s="2"/>
      <c r="D395" s="2"/>
      <c r="E395" s="2"/>
      <c r="F395" s="2"/>
      <c r="G395" s="2"/>
    </row>
    <row r="396" spans="1:7">
      <c r="A396" s="2"/>
      <c r="B396" s="2"/>
      <c r="C396" s="2"/>
      <c r="D396" s="2"/>
      <c r="E396" s="2"/>
      <c r="F396" s="2"/>
      <c r="G396" s="2"/>
    </row>
    <row r="397" spans="1:7">
      <c r="A397" s="2"/>
      <c r="B397" s="2"/>
      <c r="C397" s="2"/>
      <c r="D397" s="2"/>
      <c r="E397" s="2"/>
      <c r="F397" s="2"/>
      <c r="G397" s="2"/>
    </row>
    <row r="398" spans="1:7">
      <c r="A398" s="2"/>
      <c r="B398" s="2"/>
      <c r="C398" s="2"/>
      <c r="D398" s="2"/>
      <c r="E398" s="2"/>
      <c r="F398" s="2"/>
      <c r="G398" s="2"/>
    </row>
    <row r="399" spans="1:7">
      <c r="A399" s="2"/>
      <c r="B399" s="2"/>
      <c r="C399" s="2"/>
      <c r="D399" s="2"/>
      <c r="E399" s="2"/>
      <c r="F399" s="2"/>
      <c r="G399" s="2"/>
    </row>
    <row r="400" spans="1:7">
      <c r="A400" s="2"/>
      <c r="B400" s="2"/>
      <c r="C400" s="2"/>
      <c r="D400" s="2"/>
      <c r="E400" s="2"/>
      <c r="F400" s="2"/>
      <c r="G400" s="2"/>
    </row>
    <row r="401" spans="1:7">
      <c r="A401" s="2"/>
      <c r="B401" s="2"/>
      <c r="C401" s="2"/>
      <c r="D401" s="2"/>
      <c r="E401" s="2"/>
      <c r="F401" s="2"/>
      <c r="G401" s="2"/>
    </row>
    <row r="402" spans="1:7">
      <c r="A402" s="2"/>
      <c r="B402" s="2"/>
      <c r="C402" s="2"/>
      <c r="D402" s="2"/>
      <c r="E402" s="2"/>
      <c r="F402" s="2"/>
      <c r="G402" s="2"/>
    </row>
    <row r="403" spans="1:7">
      <c r="A403" s="2"/>
      <c r="B403" s="2"/>
      <c r="C403" s="2"/>
      <c r="D403" s="2"/>
      <c r="E403" s="2"/>
      <c r="F403" s="2"/>
      <c r="G403" s="2"/>
    </row>
    <row r="404" spans="1:7">
      <c r="A404" s="2"/>
      <c r="B404" s="2"/>
      <c r="C404" s="2"/>
      <c r="D404" s="2"/>
      <c r="E404" s="2"/>
      <c r="F404" s="2"/>
      <c r="G404" s="2"/>
    </row>
    <row r="405" spans="1:7">
      <c r="A405" s="2"/>
      <c r="B405" s="2"/>
      <c r="C405" s="2"/>
      <c r="D405" s="2"/>
      <c r="E405" s="2"/>
      <c r="F405" s="2"/>
      <c r="G405" s="2"/>
    </row>
    <row r="406" spans="1:7">
      <c r="A406" s="2"/>
      <c r="B406" s="2"/>
      <c r="C406" s="2"/>
      <c r="D406" s="2"/>
      <c r="E406" s="2"/>
      <c r="F406" s="2"/>
      <c r="G406" s="2"/>
    </row>
    <row r="407" spans="1:7">
      <c r="A407" s="2"/>
      <c r="B407" s="2"/>
      <c r="C407" s="2"/>
      <c r="D407" s="2"/>
      <c r="E407" s="2"/>
      <c r="F407" s="2"/>
      <c r="G407" s="2"/>
    </row>
    <row r="408" spans="1:7">
      <c r="A408" s="2"/>
      <c r="B408" s="2"/>
      <c r="C408" s="2"/>
      <c r="D408" s="2"/>
      <c r="E408" s="2"/>
      <c r="F408" s="2"/>
      <c r="G408" s="2"/>
    </row>
    <row r="409" spans="1:7">
      <c r="A409" s="2"/>
      <c r="B409" s="2"/>
      <c r="C409" s="2"/>
      <c r="D409" s="2"/>
      <c r="E409" s="2"/>
      <c r="F409" s="2"/>
      <c r="G409" s="2"/>
    </row>
    <row r="410" spans="1:7">
      <c r="A410" s="2"/>
      <c r="B410" s="2"/>
      <c r="C410" s="2"/>
      <c r="D410" s="2"/>
      <c r="E410" s="2"/>
      <c r="F410" s="2"/>
      <c r="G410" s="2"/>
    </row>
    <row r="411" spans="1:7">
      <c r="A411" s="2"/>
      <c r="B411" s="2"/>
      <c r="C411" s="2"/>
      <c r="D411" s="2"/>
      <c r="E411" s="2"/>
      <c r="F411" s="2"/>
      <c r="G411" s="2"/>
    </row>
    <row r="412" spans="1:7">
      <c r="A412" s="2"/>
      <c r="B412" s="2"/>
      <c r="C412" s="2"/>
      <c r="D412" s="2"/>
      <c r="E412" s="2"/>
      <c r="F412" s="2"/>
      <c r="G412" s="2"/>
    </row>
    <row r="413" spans="1:7">
      <c r="A413" s="2"/>
      <c r="B413" s="2"/>
      <c r="C413" s="2"/>
      <c r="D413" s="2"/>
      <c r="E413" s="2"/>
      <c r="F413" s="2"/>
      <c r="G413" s="2"/>
    </row>
    <row r="414" spans="1:7">
      <c r="A414" s="2"/>
      <c r="B414" s="2"/>
      <c r="C414" s="2"/>
      <c r="D414" s="2"/>
      <c r="E414" s="2"/>
      <c r="F414" s="2"/>
      <c r="G414" s="2"/>
    </row>
    <row r="415" spans="1:7">
      <c r="A415" s="2"/>
      <c r="B415" s="2"/>
      <c r="C415" s="2"/>
      <c r="D415" s="2"/>
      <c r="E415" s="2"/>
      <c r="F415" s="2"/>
      <c r="G415" s="2"/>
    </row>
    <row r="416" spans="1:7">
      <c r="A416" s="2"/>
      <c r="B416" s="2"/>
      <c r="C416" s="2"/>
      <c r="D416" s="2"/>
      <c r="E416" s="2"/>
      <c r="F416" s="2"/>
      <c r="G416" s="2"/>
    </row>
    <row r="417" spans="1:7">
      <c r="A417" s="2"/>
      <c r="B417" s="2"/>
      <c r="C417" s="2"/>
      <c r="D417" s="2"/>
      <c r="E417" s="2"/>
      <c r="F417" s="2"/>
      <c r="G417" s="2"/>
    </row>
    <row r="418" spans="1:7">
      <c r="A418" s="2"/>
      <c r="B418" s="2"/>
      <c r="C418" s="2"/>
      <c r="D418" s="2"/>
      <c r="E418" s="2"/>
      <c r="F418" s="2"/>
      <c r="G418" s="2"/>
    </row>
    <row r="419" spans="1:7">
      <c r="A419" s="2"/>
      <c r="B419" s="2"/>
      <c r="C419" s="2"/>
      <c r="D419" s="2"/>
      <c r="E419" s="2"/>
      <c r="F419" s="2"/>
      <c r="G419" s="2"/>
    </row>
    <row r="420" spans="1:7">
      <c r="A420" s="2"/>
      <c r="B420" s="2"/>
      <c r="C420" s="2"/>
      <c r="D420" s="2"/>
      <c r="E420" s="2"/>
      <c r="F420" s="2"/>
      <c r="G420" s="2"/>
    </row>
    <row r="421" spans="1:7">
      <c r="A421" s="2"/>
      <c r="B421" s="2"/>
      <c r="C421" s="2"/>
      <c r="D421" s="2"/>
      <c r="E421" s="2"/>
      <c r="F421" s="2"/>
      <c r="G421" s="2"/>
    </row>
    <row r="422" spans="1:7">
      <c r="A422" s="2"/>
      <c r="B422" s="2"/>
      <c r="C422" s="2"/>
      <c r="D422" s="2"/>
      <c r="E422" s="2"/>
      <c r="F422" s="2"/>
      <c r="G422" s="2"/>
    </row>
    <row r="423" spans="1:7">
      <c r="A423" s="2"/>
      <c r="B423" s="2"/>
      <c r="C423" s="2"/>
      <c r="D423" s="2"/>
      <c r="E423" s="2"/>
      <c r="F423" s="2"/>
      <c r="G423" s="2"/>
    </row>
    <row r="424" spans="1:7">
      <c r="A424" s="2"/>
      <c r="B424" s="2"/>
      <c r="C424" s="2"/>
      <c r="D424" s="2"/>
      <c r="E424" s="2"/>
      <c r="F424" s="2"/>
      <c r="G424" s="2"/>
    </row>
    <row r="425" spans="1:7">
      <c r="A425" s="2"/>
      <c r="B425" s="2"/>
      <c r="C425" s="2"/>
      <c r="D425" s="2"/>
      <c r="E425" s="2"/>
      <c r="F425" s="2"/>
      <c r="G425" s="2"/>
    </row>
    <row r="426" spans="1:7">
      <c r="A426" s="2"/>
      <c r="B426" s="2"/>
      <c r="C426" s="2"/>
      <c r="D426" s="2"/>
      <c r="E426" s="2"/>
      <c r="F426" s="2"/>
      <c r="G426" s="2"/>
    </row>
    <row r="427" spans="1:7">
      <c r="A427" s="2"/>
      <c r="B427" s="2"/>
      <c r="C427" s="2"/>
      <c r="D427" s="2"/>
      <c r="E427" s="2"/>
      <c r="F427" s="2"/>
      <c r="G427" s="2"/>
    </row>
    <row r="428" spans="1:7">
      <c r="A428" s="2"/>
      <c r="B428" s="2"/>
      <c r="C428" s="2"/>
      <c r="D428" s="2"/>
      <c r="E428" s="2"/>
      <c r="F428" s="2"/>
      <c r="G428" s="2"/>
    </row>
    <row r="429" spans="1:7">
      <c r="A429" s="2"/>
      <c r="B429" s="2"/>
      <c r="C429" s="2"/>
      <c r="D429" s="2"/>
      <c r="E429" s="2"/>
      <c r="F429" s="2"/>
      <c r="G429" s="2"/>
    </row>
    <row r="430" spans="1:7">
      <c r="A430" s="2"/>
      <c r="B430" s="2"/>
      <c r="C430" s="2"/>
      <c r="D430" s="2"/>
      <c r="E430" s="2"/>
      <c r="F430" s="2"/>
      <c r="G430" s="2"/>
    </row>
    <row r="431" spans="1:7">
      <c r="A431" s="2"/>
      <c r="B431" s="2"/>
      <c r="C431" s="2"/>
      <c r="D431" s="2"/>
      <c r="E431" s="2"/>
      <c r="F431" s="2"/>
      <c r="G431" s="2"/>
    </row>
    <row r="432" spans="1:7">
      <c r="A432" s="2"/>
      <c r="B432" s="2"/>
      <c r="C432" s="2"/>
      <c r="D432" s="2"/>
      <c r="E432" s="2"/>
      <c r="F432" s="2"/>
      <c r="G432" s="2"/>
    </row>
    <row r="433" spans="1:7">
      <c r="A433" s="2"/>
      <c r="B433" s="2"/>
      <c r="C433" s="2"/>
      <c r="D433" s="2"/>
      <c r="E433" s="2"/>
      <c r="F433" s="2"/>
      <c r="G433" s="2"/>
    </row>
    <row r="434" spans="1:7">
      <c r="A434" s="2"/>
      <c r="B434" s="2"/>
      <c r="C434" s="2"/>
      <c r="D434" s="2"/>
      <c r="E434" s="2"/>
      <c r="F434" s="2"/>
      <c r="G434" s="2"/>
    </row>
    <row r="435" spans="1:7">
      <c r="A435" s="2"/>
      <c r="B435" s="2"/>
      <c r="C435" s="2"/>
      <c r="D435" s="2"/>
      <c r="E435" s="2"/>
      <c r="F435" s="2"/>
      <c r="G435" s="2"/>
    </row>
    <row r="436" spans="1:7">
      <c r="A436" s="2"/>
      <c r="B436" s="2"/>
      <c r="C436" s="2"/>
      <c r="D436" s="2"/>
      <c r="E436" s="2"/>
      <c r="F436" s="2"/>
      <c r="G436" s="2"/>
    </row>
    <row r="437" spans="1:7">
      <c r="A437" s="2"/>
      <c r="B437" s="2"/>
      <c r="C437" s="2"/>
      <c r="D437" s="2"/>
      <c r="E437" s="2"/>
      <c r="F437" s="2"/>
      <c r="G437" s="2"/>
    </row>
    <row r="438" spans="1:7">
      <c r="A438" s="2"/>
      <c r="B438" s="2"/>
      <c r="C438" s="2"/>
      <c r="D438" s="2"/>
      <c r="E438" s="2"/>
      <c r="F438" s="2"/>
      <c r="G438" s="2"/>
    </row>
    <row r="439" spans="1:7">
      <c r="A439" s="2"/>
      <c r="B439" s="2"/>
      <c r="C439" s="2"/>
      <c r="D439" s="2"/>
      <c r="E439" s="2"/>
      <c r="F439" s="2"/>
      <c r="G439" s="2"/>
    </row>
    <row r="440" spans="1:7">
      <c r="A440" s="2"/>
      <c r="B440" s="2"/>
      <c r="C440" s="2"/>
      <c r="D440" s="2"/>
      <c r="E440" s="2"/>
      <c r="F440" s="2"/>
      <c r="G440" s="2"/>
    </row>
    <row r="441" spans="1:7">
      <c r="A441" s="2"/>
      <c r="B441" s="2"/>
      <c r="C441" s="2"/>
      <c r="D441" s="2"/>
      <c r="E441" s="2"/>
      <c r="F441" s="2"/>
      <c r="G441" s="2"/>
    </row>
    <row r="442" spans="1:7">
      <c r="A442" s="2"/>
      <c r="B442" s="2"/>
      <c r="C442" s="2"/>
      <c r="D442" s="2"/>
      <c r="E442" s="2"/>
      <c r="F442" s="2"/>
      <c r="G442" s="2"/>
    </row>
    <row r="443" spans="1:7">
      <c r="A443" s="2"/>
      <c r="B443" s="2"/>
      <c r="C443" s="2"/>
      <c r="D443" s="2"/>
      <c r="E443" s="2"/>
      <c r="F443" s="2"/>
      <c r="G443" s="2"/>
    </row>
    <row r="444" spans="1:7">
      <c r="A444" s="2"/>
      <c r="B444" s="2"/>
      <c r="C444" s="2"/>
      <c r="D444" s="2"/>
      <c r="E444" s="2"/>
      <c r="F444" s="2"/>
      <c r="G444" s="2"/>
    </row>
    <row r="445" spans="1:7">
      <c r="A445" s="2"/>
      <c r="B445" s="2"/>
      <c r="C445" s="2"/>
      <c r="D445" s="2"/>
      <c r="E445" s="2"/>
      <c r="F445" s="2"/>
      <c r="G445" s="2"/>
    </row>
    <row r="446" spans="1:7">
      <c r="A446" s="2"/>
      <c r="B446" s="2"/>
      <c r="C446" s="2"/>
      <c r="D446" s="2"/>
      <c r="E446" s="2"/>
      <c r="F446" s="2"/>
      <c r="G446" s="2"/>
    </row>
    <row r="447" spans="1:7">
      <c r="A447" s="2"/>
      <c r="B447" s="2"/>
      <c r="C447" s="2"/>
      <c r="D447" s="2"/>
      <c r="E447" s="2"/>
      <c r="F447" s="2"/>
      <c r="G447" s="2"/>
    </row>
    <row r="448" spans="1:7">
      <c r="A448" s="2"/>
      <c r="B448" s="2"/>
      <c r="C448" s="2"/>
      <c r="D448" s="2"/>
      <c r="E448" s="2"/>
      <c r="F448" s="2"/>
      <c r="G448" s="2"/>
    </row>
    <row r="449" spans="1:7">
      <c r="A449" s="2"/>
      <c r="B449" s="2"/>
      <c r="C449" s="2"/>
      <c r="D449" s="2"/>
      <c r="E449" s="2"/>
      <c r="F449" s="2"/>
      <c r="G449" s="2"/>
    </row>
    <row r="450" spans="1:7">
      <c r="A450" s="2"/>
      <c r="B450" s="2"/>
      <c r="C450" s="2"/>
      <c r="D450" s="2"/>
      <c r="E450" s="2"/>
      <c r="F450" s="2"/>
      <c r="G450" s="2"/>
    </row>
    <row r="451" spans="1:7">
      <c r="A451" s="2"/>
      <c r="B451" s="2"/>
      <c r="C451" s="2"/>
      <c r="D451" s="2"/>
      <c r="E451" s="2"/>
      <c r="F451" s="2"/>
      <c r="G451" s="2"/>
    </row>
    <row r="452" spans="1:7">
      <c r="A452" s="2"/>
      <c r="B452" s="2"/>
      <c r="C452" s="2"/>
      <c r="D452" s="2"/>
      <c r="E452" s="2"/>
      <c r="F452" s="2"/>
      <c r="G452" s="2"/>
    </row>
    <row r="453" spans="1:7">
      <c r="A453" s="2"/>
      <c r="B453" s="2"/>
      <c r="C453" s="2"/>
      <c r="D453" s="2"/>
      <c r="E453" s="2"/>
      <c r="F453" s="2"/>
      <c r="G453" s="2"/>
    </row>
    <row r="454" spans="1:7">
      <c r="A454" s="2"/>
      <c r="B454" s="2"/>
      <c r="C454" s="2"/>
      <c r="D454" s="2"/>
      <c r="E454" s="2"/>
      <c r="F454" s="2"/>
      <c r="G454" s="2"/>
    </row>
    <row r="455" spans="1:7">
      <c r="A455" s="2"/>
      <c r="B455" s="2"/>
      <c r="C455" s="2"/>
      <c r="D455" s="2"/>
      <c r="E455" s="2"/>
      <c r="F455" s="2"/>
      <c r="G455" s="2"/>
    </row>
    <row r="456" spans="1:7">
      <c r="A456" s="2"/>
      <c r="B456" s="2"/>
      <c r="C456" s="2"/>
      <c r="D456" s="2"/>
      <c r="E456" s="2"/>
      <c r="F456" s="2"/>
      <c r="G456" s="2"/>
    </row>
    <row r="457" spans="1:7">
      <c r="A457" s="2"/>
      <c r="B457" s="2"/>
      <c r="C457" s="2"/>
      <c r="D457" s="2"/>
      <c r="E457" s="2"/>
      <c r="F457" s="2"/>
      <c r="G457" s="2"/>
    </row>
    <row r="458" spans="1:7">
      <c r="A458" s="2"/>
      <c r="B458" s="2"/>
      <c r="C458" s="2"/>
      <c r="D458" s="2"/>
      <c r="E458" s="2"/>
      <c r="F458" s="2"/>
      <c r="G458" s="2"/>
    </row>
    <row r="459" spans="1:7">
      <c r="A459" s="2"/>
      <c r="B459" s="2"/>
      <c r="C459" s="2"/>
      <c r="D459" s="2"/>
      <c r="E459" s="2"/>
      <c r="F459" s="2"/>
      <c r="G459" s="2"/>
    </row>
    <row r="460" spans="1:7">
      <c r="A460" s="2"/>
      <c r="B460" s="2"/>
      <c r="C460" s="2"/>
      <c r="D460" s="2"/>
      <c r="E460" s="2"/>
      <c r="F460" s="2"/>
      <c r="G460" s="2"/>
    </row>
    <row r="461" spans="1:7">
      <c r="A461" s="2"/>
      <c r="B461" s="2"/>
      <c r="C461" s="2"/>
      <c r="D461" s="2"/>
      <c r="E461" s="2"/>
      <c r="F461" s="2"/>
      <c r="G461" s="2"/>
    </row>
    <row r="462" spans="1:7">
      <c r="A462" s="2"/>
      <c r="B462" s="2"/>
      <c r="C462" s="2"/>
      <c r="D462" s="2"/>
      <c r="E462" s="2"/>
      <c r="F462" s="2"/>
      <c r="G462" s="2"/>
    </row>
    <row r="463" spans="1:7">
      <c r="A463" s="2"/>
      <c r="B463" s="2"/>
      <c r="C463" s="2"/>
      <c r="D463" s="2"/>
      <c r="E463" s="2"/>
      <c r="F463" s="2"/>
      <c r="G463" s="2"/>
    </row>
    <row r="464" spans="1:7">
      <c r="A464" s="2"/>
      <c r="B464" s="2"/>
      <c r="C464" s="2"/>
      <c r="D464" s="2"/>
      <c r="E464" s="2"/>
      <c r="F464" s="2"/>
      <c r="G464" s="2"/>
    </row>
    <row r="465" spans="1:7">
      <c r="A465" s="2"/>
      <c r="B465" s="2"/>
      <c r="C465" s="2"/>
      <c r="D465" s="2"/>
      <c r="E465" s="2"/>
      <c r="F465" s="2"/>
      <c r="G465" s="2"/>
    </row>
    <row r="466" spans="1:7">
      <c r="A466" s="2"/>
      <c r="B466" s="2"/>
      <c r="C466" s="2"/>
      <c r="D466" s="2"/>
      <c r="E466" s="2"/>
      <c r="F466" s="2"/>
      <c r="G466" s="2"/>
    </row>
    <row r="467" spans="1:7">
      <c r="A467" s="2"/>
      <c r="B467" s="2"/>
      <c r="C467" s="2"/>
      <c r="D467" s="2"/>
      <c r="E467" s="2"/>
      <c r="F467" s="2"/>
      <c r="G467" s="2"/>
    </row>
    <row r="468" spans="1:7">
      <c r="A468" s="2"/>
      <c r="B468" s="2"/>
      <c r="C468" s="2"/>
      <c r="D468" s="2"/>
      <c r="E468" s="2"/>
      <c r="F468" s="2"/>
      <c r="G468" s="2"/>
    </row>
    <row r="469" spans="1:7">
      <c r="A469" s="2"/>
      <c r="B469" s="2"/>
      <c r="C469" s="2"/>
      <c r="D469" s="2"/>
      <c r="E469" s="2"/>
      <c r="F469" s="2"/>
      <c r="G469" s="2"/>
    </row>
    <row r="470" spans="1:7">
      <c r="A470" s="2"/>
      <c r="B470" s="2"/>
      <c r="C470" s="2"/>
      <c r="D470" s="2"/>
      <c r="E470" s="2"/>
      <c r="F470" s="2"/>
      <c r="G470" s="2"/>
    </row>
    <row r="471" spans="1:7">
      <c r="A471" s="2"/>
      <c r="B471" s="2"/>
      <c r="C471" s="2"/>
      <c r="D471" s="2"/>
      <c r="E471" s="2"/>
      <c r="F471" s="2"/>
      <c r="G471" s="2"/>
    </row>
    <row r="472" spans="1:7">
      <c r="A472" s="2"/>
      <c r="B472" s="2"/>
      <c r="C472" s="2"/>
      <c r="D472" s="2"/>
      <c r="E472" s="2"/>
      <c r="F472" s="2"/>
      <c r="G472" s="2"/>
    </row>
    <row r="473" spans="1:7">
      <c r="A473" s="2"/>
      <c r="B473" s="2"/>
      <c r="C473" s="2"/>
      <c r="D473" s="2"/>
      <c r="E473" s="2"/>
      <c r="F473" s="2"/>
      <c r="G473" s="2"/>
    </row>
    <row r="474" spans="1:7">
      <c r="A474" s="2"/>
      <c r="B474" s="2"/>
      <c r="C474" s="2"/>
      <c r="D474" s="2"/>
      <c r="E474" s="2"/>
      <c r="F474" s="2"/>
      <c r="G474" s="2"/>
    </row>
    <row r="475" spans="1:7">
      <c r="A475" s="2"/>
      <c r="B475" s="2"/>
      <c r="C475" s="2"/>
      <c r="D475" s="2"/>
      <c r="E475" s="2"/>
      <c r="F475" s="2"/>
      <c r="G475" s="2"/>
    </row>
    <row r="476" spans="1:7">
      <c r="A476" s="2"/>
      <c r="B476" s="2"/>
      <c r="C476" s="2"/>
      <c r="D476" s="2"/>
      <c r="E476" s="2"/>
      <c r="F476" s="2"/>
      <c r="G476" s="2"/>
    </row>
    <row r="477" spans="1:7">
      <c r="A477" s="2"/>
      <c r="B477" s="2"/>
      <c r="C477" s="2"/>
      <c r="D477" s="2"/>
      <c r="E477" s="2"/>
      <c r="F477" s="2"/>
      <c r="G477" s="2"/>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719D2-00E9-4DF5-AD37-A9E3C95F8020}">
  <dimension ref="A1:I392"/>
  <sheetViews>
    <sheetView tabSelected="1" topLeftCell="A139" zoomScale="85" zoomScaleNormal="85" workbookViewId="0">
      <selection activeCell="F151" sqref="F151"/>
    </sheetView>
  </sheetViews>
  <sheetFormatPr defaultRowHeight="15"/>
  <cols>
    <col min="1" max="1" width="34" customWidth="1"/>
    <col min="2" max="2" width="25.85546875" customWidth="1"/>
    <col min="3" max="3" width="28.42578125" customWidth="1"/>
    <col min="4" max="4" width="30.42578125" customWidth="1"/>
    <col min="5" max="5" width="81.140625" style="48" customWidth="1"/>
    <col min="8" max="8" width="45.7109375" customWidth="1"/>
    <col min="9" max="9" width="39.7109375" customWidth="1"/>
  </cols>
  <sheetData>
    <row r="1" spans="1:9">
      <c r="A1" s="27" t="s">
        <v>0</v>
      </c>
      <c r="B1" s="27" t="s">
        <v>1</v>
      </c>
      <c r="C1" s="27" t="s">
        <v>2</v>
      </c>
      <c r="D1" s="28" t="s">
        <v>3</v>
      </c>
      <c r="E1" s="48" t="s">
        <v>4</v>
      </c>
      <c r="F1" s="27" t="s">
        <v>5</v>
      </c>
      <c r="G1" s="27" t="s">
        <v>485</v>
      </c>
      <c r="H1" s="27" t="s">
        <v>6</v>
      </c>
      <c r="I1" s="27" t="s">
        <v>7</v>
      </c>
    </row>
    <row r="2" spans="1:9" ht="42.75" customHeight="1">
      <c r="A2" s="26" t="s">
        <v>8</v>
      </c>
      <c r="B2" s="26" t="s">
        <v>9</v>
      </c>
      <c r="C2" s="22" t="s">
        <v>10</v>
      </c>
      <c r="D2" s="46">
        <v>102</v>
      </c>
      <c r="E2" s="46" t="s">
        <v>486</v>
      </c>
      <c r="F2" s="22" t="s">
        <v>87</v>
      </c>
      <c r="G2" s="22">
        <f t="shared" ref="G2:G65" si="0">IF(F2="TP", 1, 0)</f>
        <v>1</v>
      </c>
      <c r="H2" s="49" t="s">
        <v>487</v>
      </c>
      <c r="I2" s="2" t="s">
        <v>488</v>
      </c>
    </row>
    <row r="3" spans="1:9" ht="29.25">
      <c r="A3" s="29"/>
      <c r="B3" s="29"/>
      <c r="C3" s="2"/>
      <c r="D3" s="47">
        <v>102</v>
      </c>
      <c r="E3" s="47" t="s">
        <v>489</v>
      </c>
      <c r="F3" s="2" t="s">
        <v>490</v>
      </c>
      <c r="G3" s="22">
        <f t="shared" si="0"/>
        <v>0</v>
      </c>
      <c r="H3" s="50" t="s">
        <v>491</v>
      </c>
      <c r="I3" s="2" t="s">
        <v>492</v>
      </c>
    </row>
    <row r="4" spans="1:9" ht="43.5">
      <c r="A4" s="29"/>
      <c r="B4" s="29"/>
      <c r="C4" s="2"/>
      <c r="D4" s="48">
        <v>103</v>
      </c>
      <c r="E4" s="47" t="s">
        <v>493</v>
      </c>
      <c r="F4" s="2" t="s">
        <v>490</v>
      </c>
      <c r="G4" s="22">
        <f t="shared" si="0"/>
        <v>0</v>
      </c>
      <c r="H4" s="50" t="s">
        <v>494</v>
      </c>
      <c r="I4" s="2"/>
    </row>
    <row r="5" spans="1:9" ht="29.25">
      <c r="A5" s="29"/>
      <c r="B5" s="29"/>
      <c r="C5" s="2"/>
      <c r="D5" s="15">
        <v>60</v>
      </c>
      <c r="E5" s="47" t="s">
        <v>495</v>
      </c>
      <c r="F5" s="2" t="s">
        <v>490</v>
      </c>
      <c r="G5" s="22">
        <f t="shared" si="0"/>
        <v>0</v>
      </c>
      <c r="H5" s="21"/>
      <c r="I5" s="2"/>
    </row>
    <row r="6" spans="1:9" ht="43.5">
      <c r="A6" s="29"/>
      <c r="B6" s="29"/>
      <c r="C6" s="2"/>
      <c r="D6" s="47">
        <v>60</v>
      </c>
      <c r="E6" s="47" t="s">
        <v>496</v>
      </c>
      <c r="F6" s="2" t="s">
        <v>490</v>
      </c>
      <c r="G6" s="22">
        <f t="shared" si="0"/>
        <v>0</v>
      </c>
      <c r="H6" s="21"/>
      <c r="I6" s="2"/>
    </row>
    <row r="7" spans="1:9" ht="29.25">
      <c r="A7" s="29"/>
      <c r="B7" s="30"/>
      <c r="C7" s="23"/>
      <c r="D7" s="51">
        <v>75</v>
      </c>
      <c r="E7" s="51" t="s">
        <v>497</v>
      </c>
      <c r="F7" s="23"/>
      <c r="G7" s="22">
        <f t="shared" si="0"/>
        <v>0</v>
      </c>
      <c r="H7" s="25"/>
      <c r="I7" s="2"/>
    </row>
    <row r="8" spans="1:9">
      <c r="A8" s="29"/>
      <c r="B8" s="2"/>
      <c r="C8" s="2"/>
      <c r="D8" s="2"/>
      <c r="E8" s="47"/>
      <c r="F8" s="2"/>
      <c r="G8" s="22"/>
      <c r="H8" s="2"/>
      <c r="I8" s="2"/>
    </row>
    <row r="9" spans="1:9" ht="43.5">
      <c r="A9" s="29"/>
      <c r="B9" s="26" t="s">
        <v>35</v>
      </c>
      <c r="C9" s="22"/>
      <c r="D9" s="66">
        <v>20</v>
      </c>
      <c r="E9" s="79" t="s">
        <v>498</v>
      </c>
      <c r="F9" s="72" t="s">
        <v>87</v>
      </c>
      <c r="G9" s="22">
        <f t="shared" si="0"/>
        <v>1</v>
      </c>
      <c r="H9" s="73" t="s">
        <v>38</v>
      </c>
      <c r="I9" s="2"/>
    </row>
    <row r="10" spans="1:9" ht="43.5">
      <c r="A10" s="29"/>
      <c r="B10" s="29"/>
      <c r="C10" s="2"/>
      <c r="D10" s="28">
        <v>20</v>
      </c>
      <c r="E10" s="47" t="s">
        <v>499</v>
      </c>
      <c r="F10" s="2" t="s">
        <v>490</v>
      </c>
      <c r="G10" s="22">
        <f t="shared" si="0"/>
        <v>0</v>
      </c>
      <c r="H10" s="21" t="s">
        <v>40</v>
      </c>
      <c r="I10" s="2"/>
    </row>
    <row r="11" spans="1:9" ht="29.25">
      <c r="A11" s="29"/>
      <c r="B11" s="29"/>
      <c r="C11" s="2"/>
      <c r="D11" s="28">
        <v>26</v>
      </c>
      <c r="E11" s="47" t="s">
        <v>500</v>
      </c>
      <c r="F11" s="2" t="s">
        <v>490</v>
      </c>
      <c r="G11" s="22">
        <f t="shared" si="0"/>
        <v>0</v>
      </c>
      <c r="H11" s="21"/>
      <c r="I11" s="2"/>
    </row>
    <row r="12" spans="1:9" ht="29.25">
      <c r="A12" s="29"/>
      <c r="B12" s="30"/>
      <c r="C12" s="23"/>
      <c r="D12" s="17">
        <v>20</v>
      </c>
      <c r="E12" s="51" t="s">
        <v>501</v>
      </c>
      <c r="F12" s="23" t="s">
        <v>490</v>
      </c>
      <c r="G12" s="22">
        <f t="shared" si="0"/>
        <v>0</v>
      </c>
      <c r="H12" s="25"/>
      <c r="I12" s="2"/>
    </row>
    <row r="13" spans="1:9">
      <c r="A13" s="29"/>
      <c r="B13" s="2"/>
      <c r="C13" s="2"/>
      <c r="D13" s="2"/>
      <c r="E13" s="47"/>
      <c r="F13" s="2"/>
      <c r="G13" s="22"/>
      <c r="H13" s="2"/>
      <c r="I13" s="2"/>
    </row>
    <row r="14" spans="1:9">
      <c r="A14" s="29"/>
      <c r="B14" s="26" t="s">
        <v>67</v>
      </c>
      <c r="C14" s="22"/>
      <c r="D14" s="13">
        <v>124</v>
      </c>
      <c r="E14" s="46" t="s">
        <v>502</v>
      </c>
      <c r="F14" s="13" t="s">
        <v>490</v>
      </c>
      <c r="G14" s="22">
        <f t="shared" si="0"/>
        <v>0</v>
      </c>
      <c r="H14" s="24" t="s">
        <v>40</v>
      </c>
      <c r="I14" s="2"/>
    </row>
    <row r="15" spans="1:9" ht="29.25">
      <c r="A15" s="29"/>
      <c r="B15" s="29"/>
      <c r="C15" s="2"/>
      <c r="D15" s="15">
        <v>134</v>
      </c>
      <c r="E15" s="48" t="s">
        <v>503</v>
      </c>
      <c r="F15" s="15" t="s">
        <v>490</v>
      </c>
      <c r="G15" s="22">
        <f t="shared" si="0"/>
        <v>0</v>
      </c>
      <c r="H15" s="50" t="s">
        <v>504</v>
      </c>
      <c r="I15" s="2"/>
    </row>
    <row r="16" spans="1:9" ht="19.5" customHeight="1">
      <c r="A16" s="29"/>
      <c r="B16" s="30"/>
      <c r="C16" s="23"/>
      <c r="D16" s="17">
        <v>50</v>
      </c>
      <c r="E16" s="51" t="s">
        <v>505</v>
      </c>
      <c r="F16" s="17"/>
      <c r="G16" s="22">
        <f t="shared" si="0"/>
        <v>0</v>
      </c>
      <c r="H16" s="25"/>
      <c r="I16" s="2"/>
    </row>
    <row r="17" spans="1:9">
      <c r="A17" s="2"/>
      <c r="B17" s="2"/>
      <c r="C17" s="2"/>
      <c r="D17" s="2"/>
      <c r="E17" s="47"/>
      <c r="F17" s="2"/>
      <c r="G17" s="22"/>
      <c r="H17" s="2"/>
      <c r="I17" s="2"/>
    </row>
    <row r="18" spans="1:9" ht="14.45" customHeight="1">
      <c r="A18" s="2" t="s">
        <v>83</v>
      </c>
      <c r="B18" s="26" t="s">
        <v>84</v>
      </c>
      <c r="C18" s="22" t="s">
        <v>85</v>
      </c>
      <c r="D18" s="13"/>
      <c r="E18" s="80" t="s">
        <v>506</v>
      </c>
      <c r="F18" s="22" t="s">
        <v>87</v>
      </c>
      <c r="G18" s="22">
        <f t="shared" si="0"/>
        <v>1</v>
      </c>
      <c r="H18" s="52" t="s">
        <v>16</v>
      </c>
      <c r="I18" s="2"/>
    </row>
    <row r="19" spans="1:9" ht="29.25">
      <c r="A19" s="29"/>
      <c r="B19" s="29"/>
      <c r="C19" s="2"/>
      <c r="D19" s="15"/>
      <c r="E19" s="81" t="s">
        <v>507</v>
      </c>
      <c r="F19" s="2" t="s">
        <v>490</v>
      </c>
      <c r="G19" s="22">
        <f t="shared" si="0"/>
        <v>0</v>
      </c>
      <c r="H19" s="53" t="s">
        <v>508</v>
      </c>
      <c r="I19" s="2"/>
    </row>
    <row r="20" spans="1:9">
      <c r="A20" s="32"/>
      <c r="B20" s="29"/>
      <c r="C20" s="2"/>
      <c r="D20" s="15"/>
      <c r="E20" s="82"/>
      <c r="F20" s="2" t="s">
        <v>87</v>
      </c>
      <c r="G20" s="22">
        <f t="shared" si="0"/>
        <v>1</v>
      </c>
      <c r="H20" s="53" t="s">
        <v>19</v>
      </c>
      <c r="I20" s="2"/>
    </row>
    <row r="21" spans="1:9">
      <c r="A21" s="29"/>
      <c r="B21" s="29"/>
      <c r="C21" s="2"/>
      <c r="D21" s="15"/>
      <c r="E21" s="47"/>
      <c r="F21" s="2"/>
      <c r="G21" s="22">
        <f t="shared" si="0"/>
        <v>0</v>
      </c>
      <c r="H21" s="53" t="s">
        <v>509</v>
      </c>
      <c r="I21" s="2"/>
    </row>
    <row r="22" spans="1:9">
      <c r="A22" s="29"/>
      <c r="B22" s="30"/>
      <c r="C22" s="23"/>
      <c r="D22" s="23"/>
      <c r="E22" s="83"/>
      <c r="F22" s="23"/>
      <c r="G22" s="22"/>
      <c r="H22" s="25"/>
      <c r="I22" s="2"/>
    </row>
    <row r="23" spans="1:9">
      <c r="A23" s="29"/>
      <c r="B23" s="2"/>
      <c r="C23" s="2"/>
      <c r="D23" s="2"/>
      <c r="E23" s="51"/>
      <c r="F23" s="2"/>
      <c r="G23" s="22"/>
      <c r="H23" s="23"/>
      <c r="I23" s="2"/>
    </row>
    <row r="24" spans="1:9">
      <c r="A24" s="29"/>
      <c r="B24" s="26" t="s">
        <v>107</v>
      </c>
      <c r="C24" s="22"/>
      <c r="D24" s="46">
        <v>13</v>
      </c>
      <c r="E24" s="84" t="s">
        <v>510</v>
      </c>
      <c r="F24" s="22" t="s">
        <v>490</v>
      </c>
      <c r="G24" s="22">
        <f t="shared" si="0"/>
        <v>0</v>
      </c>
      <c r="H24" s="75" t="s">
        <v>511</v>
      </c>
      <c r="I24" s="2"/>
    </row>
    <row r="25" spans="1:9">
      <c r="A25" s="29"/>
      <c r="B25" s="29"/>
      <c r="C25" s="2"/>
      <c r="D25" s="2"/>
      <c r="E25" s="84" t="s">
        <v>512</v>
      </c>
      <c r="F25" s="2" t="s">
        <v>87</v>
      </c>
      <c r="G25" s="22">
        <f t="shared" si="0"/>
        <v>1</v>
      </c>
      <c r="H25" s="76" t="s">
        <v>513</v>
      </c>
      <c r="I25" s="2"/>
    </row>
    <row r="26" spans="1:9">
      <c r="A26" s="29"/>
      <c r="B26" s="29"/>
      <c r="C26" s="2"/>
      <c r="D26" s="2"/>
      <c r="E26" s="84" t="s">
        <v>514</v>
      </c>
      <c r="F26" s="2" t="s">
        <v>87</v>
      </c>
      <c r="G26" s="22">
        <f t="shared" si="0"/>
        <v>1</v>
      </c>
      <c r="H26" s="53" t="s">
        <v>508</v>
      </c>
      <c r="I26" s="2"/>
    </row>
    <row r="27" spans="1:9">
      <c r="A27" s="29"/>
      <c r="B27" s="29"/>
      <c r="C27" s="2"/>
      <c r="D27" s="2"/>
      <c r="E27" s="54" t="s">
        <v>515</v>
      </c>
      <c r="F27" s="2" t="s">
        <v>490</v>
      </c>
      <c r="G27" s="22">
        <f t="shared" si="0"/>
        <v>0</v>
      </c>
      <c r="H27" s="21"/>
      <c r="I27" s="2"/>
    </row>
    <row r="28" spans="1:9" ht="29.25">
      <c r="A28" s="29"/>
      <c r="B28" s="29"/>
      <c r="C28" s="2"/>
      <c r="D28" s="2"/>
      <c r="E28" s="54" t="s">
        <v>516</v>
      </c>
      <c r="F28" s="2" t="s">
        <v>490</v>
      </c>
      <c r="G28" s="22">
        <f t="shared" si="0"/>
        <v>0</v>
      </c>
      <c r="H28" s="21"/>
      <c r="I28" s="2"/>
    </row>
    <row r="29" spans="1:9" ht="35.25" customHeight="1">
      <c r="A29" s="29"/>
      <c r="B29" s="29"/>
      <c r="C29" s="2"/>
      <c r="D29" s="2"/>
      <c r="E29" s="47" t="s">
        <v>517</v>
      </c>
      <c r="F29" s="2" t="s">
        <v>490</v>
      </c>
      <c r="G29" s="22">
        <f t="shared" si="0"/>
        <v>0</v>
      </c>
      <c r="H29" s="21"/>
      <c r="I29" s="2"/>
    </row>
    <row r="30" spans="1:9">
      <c r="A30" s="29"/>
      <c r="B30" s="30"/>
      <c r="C30" s="23"/>
      <c r="D30" s="23"/>
      <c r="E30" s="51"/>
      <c r="F30" s="23"/>
      <c r="G30" s="22"/>
      <c r="H30" s="25"/>
      <c r="I30" s="2"/>
    </row>
    <row r="31" spans="1:9">
      <c r="A31" s="29"/>
      <c r="B31" s="2"/>
      <c r="C31" s="2"/>
      <c r="D31" s="15"/>
      <c r="E31" s="47"/>
      <c r="F31" s="2"/>
      <c r="G31" s="22"/>
      <c r="H31" s="21"/>
      <c r="I31" s="2"/>
    </row>
    <row r="32" spans="1:9">
      <c r="A32" s="29"/>
      <c r="B32" s="33" t="s">
        <v>126</v>
      </c>
      <c r="C32" s="34" t="s">
        <v>127</v>
      </c>
      <c r="D32" s="13"/>
      <c r="E32" s="85" t="s">
        <v>518</v>
      </c>
      <c r="F32" s="13" t="s">
        <v>87</v>
      </c>
      <c r="G32" s="22">
        <f t="shared" si="0"/>
        <v>1</v>
      </c>
      <c r="H32" s="77" t="s">
        <v>519</v>
      </c>
      <c r="I32" s="2"/>
    </row>
    <row r="33" spans="1:9">
      <c r="A33" s="29"/>
      <c r="B33" s="32"/>
      <c r="C33" s="27"/>
      <c r="D33" s="15"/>
      <c r="E33" s="84" t="s">
        <v>520</v>
      </c>
      <c r="F33" s="15" t="s">
        <v>490</v>
      </c>
      <c r="G33" s="22">
        <f t="shared" si="0"/>
        <v>0</v>
      </c>
      <c r="H33" s="55" t="s">
        <v>508</v>
      </c>
      <c r="I33" s="2"/>
    </row>
    <row r="34" spans="1:9">
      <c r="A34" s="29"/>
      <c r="B34" s="35"/>
      <c r="C34" s="36"/>
      <c r="D34" s="17"/>
      <c r="E34" s="86" t="s">
        <v>521</v>
      </c>
      <c r="F34" s="15" t="s">
        <v>490</v>
      </c>
      <c r="G34" s="22">
        <f t="shared" si="0"/>
        <v>0</v>
      </c>
      <c r="H34" s="2"/>
      <c r="I34" s="2"/>
    </row>
    <row r="35" spans="1:9">
      <c r="A35" s="2"/>
      <c r="B35" s="27"/>
      <c r="C35" s="27"/>
      <c r="D35" s="27"/>
      <c r="F35" s="15" t="s">
        <v>490</v>
      </c>
      <c r="G35" s="22">
        <f t="shared" si="0"/>
        <v>0</v>
      </c>
      <c r="H35" s="27"/>
      <c r="I35" s="2"/>
    </row>
    <row r="36" spans="1:9">
      <c r="A36" s="2" t="s">
        <v>139</v>
      </c>
      <c r="B36" s="33" t="s">
        <v>140</v>
      </c>
      <c r="C36" s="34" t="s">
        <v>141</v>
      </c>
      <c r="D36" s="62" t="s">
        <v>522</v>
      </c>
      <c r="E36" s="80" t="s">
        <v>523</v>
      </c>
      <c r="F36" s="34" t="s">
        <v>87</v>
      </c>
      <c r="G36" s="22">
        <f t="shared" si="0"/>
        <v>1</v>
      </c>
      <c r="H36" s="38" t="s">
        <v>144</v>
      </c>
      <c r="I36" s="2"/>
    </row>
    <row r="37" spans="1:9">
      <c r="A37" s="29"/>
      <c r="B37" s="29"/>
      <c r="C37" s="2"/>
      <c r="D37" s="15"/>
      <c r="E37" s="84" t="s">
        <v>524</v>
      </c>
      <c r="F37" s="2" t="s">
        <v>490</v>
      </c>
      <c r="G37" s="22">
        <f t="shared" si="0"/>
        <v>0</v>
      </c>
      <c r="H37" s="21"/>
      <c r="I37" s="2"/>
    </row>
    <row r="38" spans="1:9">
      <c r="A38" s="29"/>
      <c r="B38" s="29"/>
      <c r="C38" s="2"/>
      <c r="D38" s="15"/>
      <c r="E38" s="84" t="s">
        <v>525</v>
      </c>
      <c r="F38" s="2" t="s">
        <v>490</v>
      </c>
      <c r="G38" s="22">
        <f t="shared" si="0"/>
        <v>0</v>
      </c>
      <c r="H38" s="21"/>
      <c r="I38" s="2"/>
    </row>
    <row r="39" spans="1:9">
      <c r="A39" s="29"/>
      <c r="B39" s="30"/>
      <c r="C39" s="23"/>
      <c r="D39" s="17"/>
      <c r="E39" s="51"/>
      <c r="F39" s="23"/>
      <c r="G39" s="22"/>
      <c r="H39" s="25"/>
      <c r="I39" s="2"/>
    </row>
    <row r="40" spans="1:9">
      <c r="A40" s="29"/>
      <c r="B40" s="2"/>
      <c r="C40" s="2"/>
      <c r="D40" s="2"/>
      <c r="E40" s="47"/>
      <c r="F40" s="2"/>
      <c r="G40" s="22"/>
      <c r="H40" s="2"/>
      <c r="I40" s="2"/>
    </row>
    <row r="41" spans="1:9">
      <c r="A41" s="29"/>
      <c r="B41" s="26" t="s">
        <v>162</v>
      </c>
      <c r="C41" s="22" t="s">
        <v>163</v>
      </c>
      <c r="D41" s="13">
        <v>110</v>
      </c>
      <c r="E41" s="79" t="s">
        <v>526</v>
      </c>
      <c r="F41" s="22" t="s">
        <v>87</v>
      </c>
      <c r="G41" s="22">
        <f t="shared" si="0"/>
        <v>1</v>
      </c>
      <c r="H41" s="68" t="s">
        <v>527</v>
      </c>
      <c r="I41" s="2"/>
    </row>
    <row r="42" spans="1:9">
      <c r="A42" s="29"/>
      <c r="B42" s="29"/>
      <c r="C42" s="2"/>
      <c r="D42" s="15"/>
      <c r="E42" s="47"/>
      <c r="F42" s="2" t="s">
        <v>490</v>
      </c>
      <c r="G42" s="22">
        <f t="shared" si="0"/>
        <v>0</v>
      </c>
      <c r="H42" s="57" t="s">
        <v>528</v>
      </c>
      <c r="I42" s="2"/>
    </row>
    <row r="43" spans="1:9">
      <c r="A43" s="29"/>
      <c r="B43" s="29"/>
      <c r="C43" s="2"/>
      <c r="D43" s="15"/>
      <c r="E43" s="47"/>
      <c r="F43" s="2" t="s">
        <v>490</v>
      </c>
      <c r="G43" s="22">
        <f t="shared" si="0"/>
        <v>0</v>
      </c>
      <c r="H43" s="2"/>
      <c r="I43" s="2"/>
    </row>
    <row r="44" spans="1:9">
      <c r="A44" s="29"/>
      <c r="B44" s="29"/>
      <c r="C44" s="2"/>
      <c r="D44" s="15"/>
      <c r="E44" s="47"/>
      <c r="F44" s="2" t="s">
        <v>490</v>
      </c>
      <c r="G44" s="22">
        <f t="shared" si="0"/>
        <v>0</v>
      </c>
      <c r="H44" s="57" t="s">
        <v>529</v>
      </c>
      <c r="I44" s="2"/>
    </row>
    <row r="45" spans="1:9">
      <c r="A45" s="29"/>
      <c r="B45" s="29"/>
      <c r="C45" s="2"/>
      <c r="D45" s="15"/>
      <c r="E45" s="47"/>
      <c r="F45" s="2" t="s">
        <v>490</v>
      </c>
      <c r="G45" s="22">
        <f t="shared" si="0"/>
        <v>0</v>
      </c>
      <c r="H45" s="57" t="s">
        <v>530</v>
      </c>
      <c r="I45" s="2"/>
    </row>
    <row r="46" spans="1:9">
      <c r="A46" s="29"/>
      <c r="B46" s="29"/>
      <c r="C46" s="2"/>
      <c r="D46" s="15"/>
      <c r="E46" s="47"/>
      <c r="F46" s="2" t="s">
        <v>490</v>
      </c>
      <c r="G46" s="22">
        <f t="shared" si="0"/>
        <v>0</v>
      </c>
      <c r="H46" s="57" t="s">
        <v>531</v>
      </c>
      <c r="I46" s="2"/>
    </row>
    <row r="47" spans="1:9">
      <c r="A47" s="29"/>
      <c r="B47" s="29"/>
      <c r="C47" s="2"/>
      <c r="D47" s="15"/>
      <c r="E47" s="47"/>
      <c r="F47" s="2" t="s">
        <v>490</v>
      </c>
      <c r="G47" s="22">
        <f t="shared" si="0"/>
        <v>0</v>
      </c>
      <c r="H47" s="57" t="s">
        <v>532</v>
      </c>
      <c r="I47" s="2"/>
    </row>
    <row r="48" spans="1:9">
      <c r="A48" s="29"/>
      <c r="B48" s="29"/>
      <c r="C48" s="2"/>
      <c r="D48" s="2"/>
      <c r="E48" s="47"/>
      <c r="F48" s="2" t="s">
        <v>490</v>
      </c>
      <c r="G48" s="22">
        <f t="shared" si="0"/>
        <v>0</v>
      </c>
      <c r="H48" s="58" t="s">
        <v>533</v>
      </c>
      <c r="I48" s="2"/>
    </row>
    <row r="49" spans="1:9">
      <c r="A49" s="29"/>
      <c r="B49" s="29"/>
      <c r="C49" s="2"/>
      <c r="D49" s="2"/>
      <c r="E49" s="47"/>
      <c r="F49" s="2" t="s">
        <v>490</v>
      </c>
      <c r="G49" s="22">
        <f t="shared" si="0"/>
        <v>0</v>
      </c>
      <c r="H49" s="58" t="s">
        <v>534</v>
      </c>
      <c r="I49" s="2"/>
    </row>
    <row r="50" spans="1:9">
      <c r="A50" s="29"/>
      <c r="B50" s="29"/>
      <c r="C50" s="2"/>
      <c r="D50" s="2"/>
      <c r="E50" s="47"/>
      <c r="F50" s="2" t="s">
        <v>490</v>
      </c>
      <c r="G50" s="22">
        <f t="shared" si="0"/>
        <v>0</v>
      </c>
      <c r="H50" s="58" t="s">
        <v>535</v>
      </c>
      <c r="I50" s="2"/>
    </row>
    <row r="51" spans="1:9">
      <c r="A51" s="29"/>
      <c r="B51" s="30"/>
      <c r="C51" s="23"/>
      <c r="D51" s="23"/>
      <c r="E51" s="51"/>
      <c r="F51" s="23"/>
      <c r="G51" s="22"/>
      <c r="H51" s="56"/>
      <c r="I51" s="2"/>
    </row>
    <row r="52" spans="1:9">
      <c r="A52" s="29"/>
      <c r="B52" s="2"/>
      <c r="C52" s="2"/>
      <c r="D52" s="2"/>
      <c r="E52" s="47"/>
      <c r="F52" s="2"/>
      <c r="G52" s="22"/>
      <c r="H52" s="2"/>
      <c r="I52" s="2"/>
    </row>
    <row r="53" spans="1:9">
      <c r="A53" s="29"/>
      <c r="B53" s="26" t="s">
        <v>177</v>
      </c>
      <c r="C53" s="22"/>
      <c r="D53" s="13"/>
      <c r="E53" s="78" t="s">
        <v>536</v>
      </c>
      <c r="F53" s="22" t="s">
        <v>490</v>
      </c>
      <c r="G53" s="22">
        <f t="shared" si="0"/>
        <v>0</v>
      </c>
      <c r="H53" s="24" t="s">
        <v>180</v>
      </c>
      <c r="I53" s="2"/>
    </row>
    <row r="54" spans="1:9">
      <c r="A54" s="29"/>
      <c r="B54" s="29"/>
      <c r="C54" s="2"/>
      <c r="D54" s="15"/>
      <c r="E54" s="87" t="s">
        <v>537</v>
      </c>
      <c r="F54" s="69" t="s">
        <v>87</v>
      </c>
      <c r="G54" s="22">
        <f t="shared" si="0"/>
        <v>1</v>
      </c>
      <c r="H54" s="70" t="s">
        <v>183</v>
      </c>
      <c r="I54" s="2"/>
    </row>
    <row r="55" spans="1:9">
      <c r="A55" s="29"/>
      <c r="B55" s="29"/>
      <c r="C55" s="2"/>
      <c r="D55" s="15"/>
      <c r="E55" s="81" t="s">
        <v>538</v>
      </c>
      <c r="F55" s="2" t="s">
        <v>490</v>
      </c>
      <c r="G55" s="22">
        <f t="shared" si="0"/>
        <v>0</v>
      </c>
      <c r="H55" s="21" t="s">
        <v>185</v>
      </c>
      <c r="I55" s="2"/>
    </row>
    <row r="56" spans="1:9">
      <c r="A56" s="29"/>
      <c r="B56" s="29"/>
      <c r="C56" s="2"/>
      <c r="D56" s="15"/>
      <c r="E56" s="84" t="s">
        <v>539</v>
      </c>
      <c r="F56" s="2" t="s">
        <v>490</v>
      </c>
      <c r="G56" s="22">
        <f t="shared" si="0"/>
        <v>0</v>
      </c>
      <c r="H56" s="21" t="s">
        <v>180</v>
      </c>
      <c r="I56" s="2"/>
    </row>
    <row r="57" spans="1:9">
      <c r="A57" s="29"/>
      <c r="B57" s="29"/>
      <c r="C57" s="2"/>
      <c r="D57" s="15"/>
      <c r="E57" s="47"/>
      <c r="F57" s="2" t="s">
        <v>490</v>
      </c>
      <c r="G57" s="22">
        <f t="shared" si="0"/>
        <v>0</v>
      </c>
      <c r="H57" s="21" t="s">
        <v>198</v>
      </c>
      <c r="I57" s="2"/>
    </row>
    <row r="58" spans="1:9">
      <c r="A58" s="21"/>
      <c r="B58" s="23"/>
      <c r="C58" s="23"/>
      <c r="D58" s="17"/>
      <c r="E58" s="51"/>
      <c r="F58" s="23"/>
      <c r="G58" s="22"/>
      <c r="H58" s="25"/>
      <c r="I58" s="2"/>
    </row>
    <row r="59" spans="1:9">
      <c r="A59" s="2"/>
      <c r="B59" s="2"/>
      <c r="C59" s="2"/>
      <c r="D59" s="2"/>
      <c r="E59" s="47"/>
      <c r="F59" s="2"/>
      <c r="G59" s="22"/>
      <c r="H59" s="2"/>
      <c r="I59" s="2"/>
    </row>
    <row r="60" spans="1:9">
      <c r="A60" s="29" t="s">
        <v>200</v>
      </c>
      <c r="B60" s="26" t="s">
        <v>201</v>
      </c>
      <c r="C60" s="22"/>
      <c r="D60" s="61">
        <v>23</v>
      </c>
      <c r="E60" s="78" t="s">
        <v>540</v>
      </c>
      <c r="F60" s="22" t="s">
        <v>87</v>
      </c>
      <c r="G60" s="22">
        <f t="shared" si="0"/>
        <v>1</v>
      </c>
      <c r="H60" s="55" t="s">
        <v>508</v>
      </c>
      <c r="I60" s="2"/>
    </row>
    <row r="61" spans="1:9" ht="18.75" customHeight="1">
      <c r="A61" s="29"/>
      <c r="B61" s="29"/>
      <c r="C61" s="2"/>
      <c r="D61" s="60" t="s">
        <v>541</v>
      </c>
      <c r="E61" s="88" t="s">
        <v>542</v>
      </c>
      <c r="F61" s="2" t="s">
        <v>87</v>
      </c>
      <c r="G61" s="22">
        <f t="shared" si="0"/>
        <v>1</v>
      </c>
      <c r="H61" s="53" t="s">
        <v>8</v>
      </c>
      <c r="I61" s="2"/>
    </row>
    <row r="62" spans="1:9">
      <c r="A62" s="29"/>
      <c r="B62" s="29"/>
      <c r="C62" s="2"/>
      <c r="D62" s="59"/>
      <c r="E62" s="88" t="s">
        <v>543</v>
      </c>
      <c r="F62" s="2" t="s">
        <v>490</v>
      </c>
      <c r="G62" s="22">
        <f t="shared" si="0"/>
        <v>0</v>
      </c>
      <c r="H62" s="53" t="s">
        <v>254</v>
      </c>
      <c r="I62" s="2"/>
    </row>
    <row r="63" spans="1:9">
      <c r="A63" s="29"/>
      <c r="B63" s="29"/>
      <c r="C63" s="2"/>
      <c r="D63" s="59">
        <v>50</v>
      </c>
      <c r="E63" s="88" t="s">
        <v>544</v>
      </c>
      <c r="F63" s="2" t="s">
        <v>490</v>
      </c>
      <c r="G63" s="22">
        <f t="shared" si="0"/>
        <v>0</v>
      </c>
      <c r="H63" s="53" t="s">
        <v>19</v>
      </c>
      <c r="I63" s="2"/>
    </row>
    <row r="64" spans="1:9">
      <c r="A64" s="29"/>
      <c r="B64" s="30"/>
      <c r="C64" s="23"/>
      <c r="D64" s="17"/>
      <c r="E64" s="51"/>
      <c r="F64" s="23"/>
      <c r="G64" s="22"/>
      <c r="H64" s="25"/>
      <c r="I64" s="2"/>
    </row>
    <row r="65" spans="1:9">
      <c r="A65" s="29"/>
      <c r="B65" s="2"/>
      <c r="C65" s="2"/>
      <c r="D65" s="2"/>
      <c r="E65" s="47"/>
      <c r="F65" s="2"/>
      <c r="G65" s="22"/>
      <c r="H65" s="2"/>
      <c r="I65" s="2"/>
    </row>
    <row r="66" spans="1:9" ht="29.25">
      <c r="A66" s="29"/>
      <c r="B66" s="26" t="s">
        <v>220</v>
      </c>
      <c r="C66" s="22"/>
      <c r="D66" s="13"/>
      <c r="E66" s="78" t="s">
        <v>545</v>
      </c>
      <c r="F66" s="13" t="s">
        <v>87</v>
      </c>
      <c r="G66" s="22">
        <f t="shared" ref="G66:G129" si="1">IF(F66="TP", 1, 0)</f>
        <v>1</v>
      </c>
      <c r="H66" s="49" t="s">
        <v>546</v>
      </c>
      <c r="I66" s="2"/>
    </row>
    <row r="67" spans="1:9">
      <c r="A67" s="29"/>
      <c r="B67" s="29"/>
      <c r="C67" s="2"/>
      <c r="D67" s="15"/>
      <c r="E67" s="88" t="s">
        <v>547</v>
      </c>
      <c r="F67" s="15" t="s">
        <v>490</v>
      </c>
      <c r="G67" s="22">
        <f t="shared" si="1"/>
        <v>0</v>
      </c>
      <c r="H67" s="16" t="s">
        <v>149</v>
      </c>
      <c r="I67" s="2"/>
    </row>
    <row r="68" spans="1:9">
      <c r="A68" s="29"/>
      <c r="B68" s="29"/>
      <c r="C68" s="2"/>
      <c r="D68" s="15"/>
      <c r="E68" s="88" t="s">
        <v>536</v>
      </c>
      <c r="F68" s="15" t="s">
        <v>490</v>
      </c>
      <c r="G68" s="22">
        <f t="shared" si="1"/>
        <v>0</v>
      </c>
      <c r="H68" s="16"/>
      <c r="I68" s="2"/>
    </row>
    <row r="69" spans="1:9">
      <c r="A69" s="29"/>
      <c r="B69" s="29"/>
      <c r="C69" s="2"/>
      <c r="D69" s="15"/>
      <c r="E69" s="88" t="s">
        <v>548</v>
      </c>
      <c r="F69" s="15" t="s">
        <v>87</v>
      </c>
      <c r="G69" s="22">
        <f t="shared" si="1"/>
        <v>1</v>
      </c>
      <c r="H69" s="16"/>
      <c r="I69" s="2"/>
    </row>
    <row r="70" spans="1:9">
      <c r="A70" s="29"/>
      <c r="B70" s="30"/>
      <c r="C70" s="23"/>
      <c r="D70" s="17"/>
      <c r="E70" s="51"/>
      <c r="F70" s="17"/>
      <c r="G70" s="22"/>
      <c r="H70" s="18"/>
      <c r="I70" s="2"/>
    </row>
    <row r="71" spans="1:9">
      <c r="A71" s="29"/>
      <c r="B71" s="2"/>
      <c r="C71" s="2"/>
      <c r="D71" s="15"/>
      <c r="E71" s="47"/>
      <c r="F71" s="15"/>
      <c r="G71" s="22"/>
      <c r="H71" s="15"/>
      <c r="I71" s="2"/>
    </row>
    <row r="72" spans="1:9">
      <c r="A72" s="29"/>
      <c r="B72" s="26" t="s">
        <v>235</v>
      </c>
      <c r="C72" s="22"/>
      <c r="D72" s="46">
        <v>2</v>
      </c>
      <c r="E72" s="46"/>
      <c r="F72" s="22"/>
      <c r="G72" s="22">
        <f t="shared" si="1"/>
        <v>0</v>
      </c>
      <c r="H72" s="24" t="s">
        <v>549</v>
      </c>
      <c r="I72" s="2"/>
    </row>
    <row r="73" spans="1:9">
      <c r="A73" s="29"/>
      <c r="B73" s="29"/>
      <c r="C73" s="2"/>
      <c r="D73" s="47">
        <v>10</v>
      </c>
      <c r="E73" s="47"/>
      <c r="F73" s="2"/>
      <c r="G73" s="22">
        <f t="shared" si="1"/>
        <v>0</v>
      </c>
      <c r="H73" s="21"/>
      <c r="I73" s="2"/>
    </row>
    <row r="74" spans="1:9">
      <c r="A74" s="29"/>
      <c r="B74" s="30"/>
      <c r="C74" s="23"/>
      <c r="D74" s="23"/>
      <c r="E74" s="51"/>
      <c r="F74" s="23"/>
      <c r="G74" s="22"/>
      <c r="H74" s="25"/>
      <c r="I74" s="2"/>
    </row>
    <row r="75" spans="1:9">
      <c r="A75" s="2"/>
      <c r="B75" s="2"/>
      <c r="C75" s="2"/>
      <c r="D75" s="2"/>
      <c r="E75" s="47"/>
      <c r="F75" s="2"/>
      <c r="G75" s="22"/>
      <c r="H75" s="2"/>
      <c r="I75" s="2"/>
    </row>
    <row r="76" spans="1:9">
      <c r="A76" s="29" t="s">
        <v>247</v>
      </c>
      <c r="B76" s="26" t="s">
        <v>248</v>
      </c>
      <c r="C76" s="22"/>
      <c r="D76" s="13"/>
      <c r="E76" s="78" t="s">
        <v>550</v>
      </c>
      <c r="F76" s="22" t="s">
        <v>490</v>
      </c>
      <c r="G76" s="22">
        <f t="shared" si="1"/>
        <v>0</v>
      </c>
      <c r="H76" s="52" t="s">
        <v>551</v>
      </c>
      <c r="I76" s="2"/>
    </row>
    <row r="77" spans="1:9">
      <c r="A77" s="29"/>
      <c r="B77" s="29"/>
      <c r="C77" s="2"/>
      <c r="D77" s="15"/>
      <c r="E77" s="88" t="s">
        <v>552</v>
      </c>
      <c r="F77" s="2" t="s">
        <v>87</v>
      </c>
      <c r="G77" s="22">
        <f t="shared" si="1"/>
        <v>1</v>
      </c>
      <c r="H77" s="21" t="s">
        <v>257</v>
      </c>
      <c r="I77" s="2"/>
    </row>
    <row r="78" spans="1:9">
      <c r="A78" s="29"/>
      <c r="B78" s="29"/>
      <c r="C78" s="2"/>
      <c r="D78" s="15"/>
      <c r="E78" s="88" t="s">
        <v>553</v>
      </c>
      <c r="F78" s="2" t="s">
        <v>490</v>
      </c>
      <c r="G78" s="22">
        <f t="shared" si="1"/>
        <v>0</v>
      </c>
      <c r="H78" s="53" t="s">
        <v>554</v>
      </c>
      <c r="I78" s="2"/>
    </row>
    <row r="79" spans="1:9">
      <c r="A79" s="29"/>
      <c r="B79" s="29"/>
      <c r="C79" s="2"/>
      <c r="D79" s="2"/>
      <c r="E79" s="84" t="s">
        <v>555</v>
      </c>
      <c r="F79" s="2" t="s">
        <v>490</v>
      </c>
      <c r="G79" s="22">
        <f t="shared" si="1"/>
        <v>0</v>
      </c>
      <c r="H79" s="21"/>
      <c r="I79" s="2"/>
    </row>
    <row r="80" spans="1:9">
      <c r="A80" s="29"/>
      <c r="B80" s="30"/>
      <c r="C80" s="23"/>
      <c r="D80" s="17"/>
      <c r="E80" s="51"/>
      <c r="F80" s="23"/>
      <c r="G80" s="22"/>
      <c r="H80" s="25"/>
      <c r="I80" s="2"/>
    </row>
    <row r="81" spans="1:9">
      <c r="A81" s="29"/>
      <c r="B81" s="2"/>
      <c r="C81" s="2"/>
      <c r="D81" s="2"/>
      <c r="E81" s="47"/>
      <c r="F81" s="2"/>
      <c r="G81" s="22"/>
      <c r="H81" s="2"/>
      <c r="I81" s="2"/>
    </row>
    <row r="82" spans="1:9">
      <c r="A82" s="29"/>
      <c r="B82" s="26" t="s">
        <v>258</v>
      </c>
      <c r="C82" s="22"/>
      <c r="D82" s="43"/>
      <c r="E82" s="80" t="s">
        <v>550</v>
      </c>
      <c r="F82" s="22" t="s">
        <v>490</v>
      </c>
      <c r="G82" s="22">
        <f t="shared" si="1"/>
        <v>0</v>
      </c>
      <c r="H82" s="52" t="s">
        <v>551</v>
      </c>
      <c r="I82" s="2"/>
    </row>
    <row r="83" spans="1:9">
      <c r="A83" s="29"/>
      <c r="B83" s="29"/>
      <c r="C83" s="2"/>
      <c r="D83" s="15"/>
      <c r="E83" s="89" t="s">
        <v>552</v>
      </c>
      <c r="F83" s="69" t="s">
        <v>87</v>
      </c>
      <c r="G83" s="67">
        <f t="shared" si="1"/>
        <v>1</v>
      </c>
      <c r="H83" s="77" t="s">
        <v>556</v>
      </c>
      <c r="I83" s="2" t="s">
        <v>557</v>
      </c>
    </row>
    <row r="84" spans="1:9">
      <c r="A84" s="29"/>
      <c r="B84" s="29"/>
      <c r="C84" s="2"/>
      <c r="D84" s="15"/>
      <c r="E84" s="84" t="s">
        <v>553</v>
      </c>
      <c r="F84" s="2" t="s">
        <v>490</v>
      </c>
      <c r="G84" s="22">
        <f t="shared" si="1"/>
        <v>0</v>
      </c>
      <c r="H84" s="53" t="s">
        <v>554</v>
      </c>
      <c r="I84" s="2"/>
    </row>
    <row r="85" spans="1:9" ht="18.75" customHeight="1">
      <c r="A85" s="29"/>
      <c r="B85" s="30"/>
      <c r="C85" s="23"/>
      <c r="D85" s="17"/>
      <c r="E85" s="51"/>
      <c r="F85" s="23"/>
      <c r="G85" s="22"/>
      <c r="H85" s="25"/>
      <c r="I85" s="2"/>
    </row>
    <row r="86" spans="1:9">
      <c r="A86" s="29"/>
      <c r="B86" s="2"/>
      <c r="C86" s="2"/>
      <c r="D86" s="2"/>
      <c r="E86" s="47"/>
      <c r="F86" s="2"/>
      <c r="G86" s="22"/>
      <c r="H86" s="2"/>
      <c r="I86" s="2"/>
    </row>
    <row r="87" spans="1:9">
      <c r="A87" s="29"/>
      <c r="B87" s="26" t="s">
        <v>274</v>
      </c>
      <c r="C87" s="22"/>
      <c r="D87" s="13">
        <v>7</v>
      </c>
      <c r="E87" s="80" t="s">
        <v>558</v>
      </c>
      <c r="F87" s="22" t="s">
        <v>87</v>
      </c>
      <c r="G87" s="22">
        <f t="shared" si="1"/>
        <v>1</v>
      </c>
      <c r="H87" s="52" t="s">
        <v>97</v>
      </c>
      <c r="I87" s="2" t="s">
        <v>559</v>
      </c>
    </row>
    <row r="88" spans="1:9">
      <c r="A88" s="29"/>
      <c r="B88" s="29"/>
      <c r="C88" s="2"/>
      <c r="D88" s="2"/>
      <c r="E88" s="84" t="s">
        <v>560</v>
      </c>
      <c r="F88" s="2" t="s">
        <v>490</v>
      </c>
      <c r="G88" s="22">
        <f t="shared" si="1"/>
        <v>0</v>
      </c>
      <c r="H88" s="21"/>
      <c r="I88" s="2"/>
    </row>
    <row r="89" spans="1:9">
      <c r="A89" s="29"/>
      <c r="B89" s="29"/>
      <c r="C89" s="2"/>
      <c r="D89" s="2"/>
      <c r="E89" s="84" t="s">
        <v>561</v>
      </c>
      <c r="F89" s="2" t="s">
        <v>490</v>
      </c>
      <c r="G89" s="22">
        <f t="shared" si="1"/>
        <v>0</v>
      </c>
      <c r="H89" s="21"/>
      <c r="I89" s="2"/>
    </row>
    <row r="90" spans="1:9">
      <c r="A90" s="2"/>
      <c r="B90" s="30"/>
      <c r="C90" s="23"/>
      <c r="D90" s="36"/>
      <c r="E90" s="90"/>
      <c r="F90" s="23"/>
      <c r="G90" s="22"/>
      <c r="H90" s="25"/>
      <c r="I90" s="2"/>
    </row>
    <row r="91" spans="1:9">
      <c r="A91" s="2"/>
      <c r="B91" s="2"/>
      <c r="C91" s="2"/>
      <c r="D91" s="2"/>
      <c r="E91" s="47"/>
      <c r="F91" s="2"/>
      <c r="G91" s="22"/>
      <c r="H91" s="2"/>
      <c r="I91" s="2"/>
    </row>
    <row r="92" spans="1:9" ht="27" customHeight="1">
      <c r="A92" s="2" t="s">
        <v>294</v>
      </c>
      <c r="B92" s="26" t="s">
        <v>295</v>
      </c>
      <c r="C92" s="22"/>
      <c r="D92" s="13">
        <v>12</v>
      </c>
      <c r="E92" s="80" t="s">
        <v>562</v>
      </c>
      <c r="F92" s="22" t="s">
        <v>87</v>
      </c>
      <c r="G92" s="22">
        <f t="shared" si="1"/>
        <v>1</v>
      </c>
      <c r="H92" s="52" t="s">
        <v>97</v>
      </c>
      <c r="I92" s="2"/>
    </row>
    <row r="93" spans="1:9">
      <c r="A93" s="29"/>
      <c r="B93" s="29"/>
      <c r="C93" s="2"/>
      <c r="D93" s="15">
        <v>17</v>
      </c>
      <c r="E93" s="84" t="s">
        <v>379</v>
      </c>
      <c r="F93" s="2" t="s">
        <v>87</v>
      </c>
      <c r="G93" s="22">
        <f t="shared" si="1"/>
        <v>1</v>
      </c>
      <c r="H93" s="53" t="s">
        <v>563</v>
      </c>
      <c r="I93" s="2"/>
    </row>
    <row r="94" spans="1:9">
      <c r="A94" s="29"/>
      <c r="B94" s="29"/>
      <c r="C94" s="2"/>
      <c r="D94" s="15"/>
      <c r="E94" s="84" t="s">
        <v>564</v>
      </c>
      <c r="F94" s="2" t="s">
        <v>490</v>
      </c>
      <c r="G94" s="22">
        <f t="shared" si="1"/>
        <v>0</v>
      </c>
      <c r="H94" s="21"/>
      <c r="I94" s="2"/>
    </row>
    <row r="95" spans="1:9">
      <c r="A95" s="29"/>
      <c r="B95" s="30"/>
      <c r="C95" s="23"/>
      <c r="D95" s="17"/>
      <c r="E95" s="51"/>
      <c r="F95" s="23"/>
      <c r="G95" s="22"/>
      <c r="H95" s="25"/>
      <c r="I95" s="2"/>
    </row>
    <row r="96" spans="1:9">
      <c r="A96" s="29"/>
      <c r="B96" s="2"/>
      <c r="C96" s="2"/>
      <c r="D96" s="2"/>
      <c r="E96" s="47"/>
      <c r="F96" s="2"/>
      <c r="G96" s="22"/>
      <c r="H96" s="2"/>
      <c r="I96" s="2"/>
    </row>
    <row r="97" spans="1:9">
      <c r="A97" s="29"/>
      <c r="B97" s="26" t="s">
        <v>314</v>
      </c>
      <c r="C97" s="22"/>
      <c r="D97" s="37"/>
      <c r="E97" s="80" t="s">
        <v>565</v>
      </c>
      <c r="F97" s="22" t="s">
        <v>87</v>
      </c>
      <c r="G97" s="22">
        <f t="shared" si="1"/>
        <v>1</v>
      </c>
      <c r="H97" s="52" t="s">
        <v>508</v>
      </c>
      <c r="I97" s="2"/>
    </row>
    <row r="98" spans="1:9">
      <c r="A98" s="29"/>
      <c r="B98" s="29"/>
      <c r="C98" s="2"/>
      <c r="D98" s="28"/>
      <c r="E98" s="84" t="s">
        <v>51</v>
      </c>
      <c r="F98" s="2" t="s">
        <v>490</v>
      </c>
      <c r="G98" s="22">
        <f t="shared" si="1"/>
        <v>0</v>
      </c>
      <c r="H98" s="53" t="s">
        <v>16</v>
      </c>
      <c r="I98" s="2"/>
    </row>
    <row r="99" spans="1:9">
      <c r="A99" s="29"/>
      <c r="B99" s="29"/>
      <c r="C99" s="2"/>
      <c r="D99" s="28"/>
      <c r="E99" s="84" t="s">
        <v>227</v>
      </c>
      <c r="F99" s="2" t="s">
        <v>87</v>
      </c>
      <c r="G99" s="22">
        <f t="shared" si="1"/>
        <v>1</v>
      </c>
      <c r="H99" s="53" t="s">
        <v>556</v>
      </c>
      <c r="I99" s="2"/>
    </row>
    <row r="100" spans="1:9">
      <c r="A100" s="29"/>
      <c r="B100" s="30"/>
      <c r="C100" s="23"/>
      <c r="D100" s="44"/>
      <c r="E100" s="51"/>
      <c r="F100" s="23"/>
      <c r="G100" s="22"/>
      <c r="H100" s="25"/>
      <c r="I100" s="2"/>
    </row>
    <row r="101" spans="1:9">
      <c r="A101" s="29"/>
      <c r="B101" s="2"/>
      <c r="C101" s="2"/>
      <c r="D101" s="2"/>
      <c r="E101" s="47"/>
      <c r="F101" s="2"/>
      <c r="G101" s="22"/>
      <c r="H101" s="2"/>
      <c r="I101" s="2"/>
    </row>
    <row r="102" spans="1:9">
      <c r="A102" s="29"/>
      <c r="B102" s="26" t="s">
        <v>323</v>
      </c>
      <c r="C102" s="22"/>
      <c r="D102" s="13"/>
      <c r="E102" s="80" t="s">
        <v>566</v>
      </c>
      <c r="F102" s="22" t="s">
        <v>490</v>
      </c>
      <c r="G102" s="22">
        <f t="shared" si="1"/>
        <v>0</v>
      </c>
      <c r="H102" s="74" t="s">
        <v>567</v>
      </c>
      <c r="I102" s="2" t="s">
        <v>557</v>
      </c>
    </row>
    <row r="103" spans="1:9">
      <c r="A103" s="29"/>
      <c r="B103" s="29"/>
      <c r="C103" s="2"/>
      <c r="D103" s="15"/>
      <c r="E103" s="84" t="s">
        <v>568</v>
      </c>
      <c r="F103" s="2" t="s">
        <v>490</v>
      </c>
      <c r="G103" s="22">
        <f t="shared" si="1"/>
        <v>0</v>
      </c>
      <c r="H103" s="21"/>
      <c r="I103" s="2"/>
    </row>
    <row r="104" spans="1:9">
      <c r="A104" s="21"/>
      <c r="B104" s="23"/>
      <c r="C104" s="23"/>
      <c r="D104" s="17"/>
      <c r="E104" s="51"/>
      <c r="F104" s="23"/>
      <c r="G104" s="22"/>
      <c r="H104" s="25"/>
      <c r="I104" s="2"/>
    </row>
    <row r="105" spans="1:9">
      <c r="A105" s="2"/>
      <c r="B105" s="2"/>
      <c r="C105" s="2"/>
      <c r="D105" s="2"/>
      <c r="E105" s="47"/>
      <c r="F105" s="2"/>
      <c r="G105" s="22"/>
      <c r="H105" s="2"/>
      <c r="I105" s="2"/>
    </row>
    <row r="106" spans="1:9" ht="20.25" customHeight="1">
      <c r="A106" s="29" t="s">
        <v>333</v>
      </c>
      <c r="B106" s="26" t="s">
        <v>352</v>
      </c>
      <c r="C106" s="22"/>
      <c r="D106" s="22"/>
      <c r="E106" s="80" t="s">
        <v>569</v>
      </c>
      <c r="F106" s="22" t="s">
        <v>87</v>
      </c>
      <c r="G106" s="22">
        <f t="shared" si="1"/>
        <v>1</v>
      </c>
      <c r="H106" s="24" t="s">
        <v>508</v>
      </c>
      <c r="I106" s="2"/>
    </row>
    <row r="107" spans="1:9">
      <c r="A107" s="29"/>
      <c r="B107" s="29"/>
      <c r="C107" s="2"/>
      <c r="D107" s="2"/>
      <c r="E107" s="84" t="s">
        <v>547</v>
      </c>
      <c r="F107" s="2" t="s">
        <v>490</v>
      </c>
      <c r="G107" s="22">
        <f t="shared" si="1"/>
        <v>0</v>
      </c>
      <c r="H107" s="21" t="s">
        <v>19</v>
      </c>
      <c r="I107" s="2"/>
    </row>
    <row r="108" spans="1:9">
      <c r="A108" s="29"/>
      <c r="B108" s="29"/>
      <c r="C108" s="2"/>
      <c r="D108" s="2"/>
      <c r="E108" s="84" t="s">
        <v>570</v>
      </c>
      <c r="F108" s="2" t="s">
        <v>490</v>
      </c>
      <c r="G108" s="22">
        <f t="shared" si="1"/>
        <v>0</v>
      </c>
      <c r="H108" s="21" t="s">
        <v>257</v>
      </c>
      <c r="I108" s="2"/>
    </row>
    <row r="109" spans="1:9">
      <c r="A109" s="29"/>
      <c r="B109" s="30"/>
      <c r="C109" s="23"/>
      <c r="D109" s="23"/>
      <c r="E109" s="51"/>
      <c r="F109" s="23"/>
      <c r="G109" s="22"/>
      <c r="H109" s="25"/>
      <c r="I109" s="2"/>
    </row>
    <row r="110" spans="1:9">
      <c r="A110" s="29"/>
      <c r="B110" s="2"/>
      <c r="C110" s="2"/>
      <c r="D110" s="2"/>
      <c r="E110" s="47"/>
      <c r="F110" s="2"/>
      <c r="G110" s="22"/>
      <c r="H110" s="2"/>
      <c r="I110" s="2"/>
    </row>
    <row r="111" spans="1:9">
      <c r="A111" s="29"/>
      <c r="B111" s="26" t="s">
        <v>571</v>
      </c>
      <c r="C111" s="22"/>
      <c r="D111" s="13"/>
      <c r="E111" s="80" t="s">
        <v>547</v>
      </c>
      <c r="F111" s="22" t="s">
        <v>490</v>
      </c>
      <c r="G111" s="22">
        <f t="shared" si="1"/>
        <v>0</v>
      </c>
      <c r="H111" s="52" t="s">
        <v>572</v>
      </c>
      <c r="I111" s="2"/>
    </row>
    <row r="112" spans="1:9">
      <c r="A112" s="29"/>
      <c r="B112" s="29"/>
      <c r="C112" s="2"/>
      <c r="D112" s="15"/>
      <c r="E112" s="84" t="s">
        <v>573</v>
      </c>
      <c r="F112" s="22" t="s">
        <v>490</v>
      </c>
      <c r="G112" s="22">
        <f t="shared" si="1"/>
        <v>0</v>
      </c>
      <c r="H112" s="53" t="s">
        <v>574</v>
      </c>
      <c r="I112" s="2"/>
    </row>
    <row r="113" spans="1:9">
      <c r="A113" s="29"/>
      <c r="B113" s="29"/>
      <c r="C113" s="2"/>
      <c r="D113" s="15"/>
      <c r="E113" s="84" t="s">
        <v>575</v>
      </c>
      <c r="F113" s="22" t="s">
        <v>490</v>
      </c>
      <c r="G113" s="22">
        <f t="shared" si="1"/>
        <v>0</v>
      </c>
      <c r="H113" s="53" t="s">
        <v>576</v>
      </c>
      <c r="I113" s="2"/>
    </row>
    <row r="114" spans="1:9">
      <c r="A114" s="29"/>
      <c r="B114" s="29"/>
      <c r="C114" s="2"/>
      <c r="D114" s="15"/>
      <c r="E114" s="47" t="s">
        <v>577</v>
      </c>
      <c r="F114" s="22" t="s">
        <v>490</v>
      </c>
      <c r="G114" s="22">
        <f t="shared" si="1"/>
        <v>0</v>
      </c>
      <c r="H114" s="21" t="s">
        <v>578</v>
      </c>
      <c r="I114" s="2"/>
    </row>
    <row r="115" spans="1:9">
      <c r="A115" s="29"/>
      <c r="B115" s="30"/>
      <c r="C115" s="23"/>
      <c r="D115" s="17"/>
      <c r="E115" s="51"/>
      <c r="F115" s="23"/>
      <c r="G115" s="22"/>
      <c r="H115" s="25"/>
      <c r="I115" s="2"/>
    </row>
    <row r="116" spans="1:9">
      <c r="A116" s="29"/>
      <c r="B116" s="2"/>
      <c r="C116" s="2"/>
      <c r="D116" s="2"/>
      <c r="E116" s="47"/>
      <c r="F116" s="2"/>
      <c r="G116" s="22"/>
      <c r="H116" s="2"/>
      <c r="I116" s="2"/>
    </row>
    <row r="117" spans="1:9">
      <c r="A117" s="29"/>
      <c r="B117" s="26" t="s">
        <v>365</v>
      </c>
      <c r="C117" s="22"/>
      <c r="D117" s="22"/>
      <c r="E117" s="80" t="s">
        <v>579</v>
      </c>
      <c r="F117" s="22" t="s">
        <v>490</v>
      </c>
      <c r="G117" s="22">
        <f t="shared" si="1"/>
        <v>0</v>
      </c>
      <c r="H117" s="52" t="s">
        <v>97</v>
      </c>
      <c r="I117" s="2"/>
    </row>
    <row r="118" spans="1:9">
      <c r="A118" s="2"/>
      <c r="B118" s="30"/>
      <c r="C118" s="23"/>
      <c r="D118" s="23"/>
      <c r="E118" s="51"/>
      <c r="F118" s="23"/>
      <c r="G118" s="22"/>
      <c r="H118" s="25"/>
      <c r="I118" s="2"/>
    </row>
    <row r="119" spans="1:9">
      <c r="A119" s="2"/>
      <c r="B119" s="2"/>
      <c r="C119" s="2"/>
      <c r="D119" s="2"/>
      <c r="E119" s="47"/>
      <c r="F119" s="2"/>
      <c r="G119" s="22"/>
      <c r="H119" s="2"/>
      <c r="I119" s="2"/>
    </row>
    <row r="120" spans="1:9" ht="29.25">
      <c r="A120" s="26" t="s">
        <v>228</v>
      </c>
      <c r="B120" s="26" t="s">
        <v>381</v>
      </c>
      <c r="C120" s="22"/>
      <c r="D120" s="13"/>
      <c r="E120" s="46" t="s">
        <v>580</v>
      </c>
      <c r="F120" s="22" t="s">
        <v>87</v>
      </c>
      <c r="G120" s="22">
        <f t="shared" si="1"/>
        <v>1</v>
      </c>
      <c r="H120" s="52" t="s">
        <v>581</v>
      </c>
      <c r="I120" s="2"/>
    </row>
    <row r="121" spans="1:9">
      <c r="A121" s="29"/>
      <c r="B121" s="29"/>
      <c r="C121" s="2"/>
      <c r="D121" s="15"/>
      <c r="E121" s="47" t="s">
        <v>582</v>
      </c>
      <c r="F121" s="2" t="s">
        <v>87</v>
      </c>
      <c r="G121" s="22">
        <f t="shared" si="1"/>
        <v>1</v>
      </c>
      <c r="H121" s="21"/>
      <c r="I121" s="2"/>
    </row>
    <row r="122" spans="1:9">
      <c r="B122" s="63"/>
      <c r="E122" s="48" t="s">
        <v>583</v>
      </c>
      <c r="F122" t="s">
        <v>490</v>
      </c>
      <c r="G122" s="22">
        <f t="shared" si="1"/>
        <v>0</v>
      </c>
      <c r="H122" s="71"/>
    </row>
    <row r="123" spans="1:9">
      <c r="A123" s="29"/>
      <c r="B123" s="29"/>
      <c r="C123" s="2"/>
      <c r="D123" s="15"/>
      <c r="E123" s="47" t="s">
        <v>584</v>
      </c>
      <c r="F123" s="2" t="s">
        <v>490</v>
      </c>
      <c r="G123" s="22">
        <f t="shared" si="1"/>
        <v>0</v>
      </c>
      <c r="H123" s="21"/>
      <c r="I123" s="2"/>
    </row>
    <row r="124" spans="1:9">
      <c r="A124" s="29"/>
      <c r="B124" s="30"/>
      <c r="C124" s="23"/>
      <c r="D124" s="17"/>
      <c r="E124" s="51"/>
      <c r="F124" s="23"/>
      <c r="G124" s="22"/>
      <c r="H124" s="25"/>
      <c r="I124" s="2"/>
    </row>
    <row r="125" spans="1:9">
      <c r="A125" s="29"/>
      <c r="B125" s="2"/>
      <c r="C125" s="2"/>
      <c r="D125" s="2"/>
      <c r="E125" s="47"/>
      <c r="F125" s="2"/>
      <c r="G125" s="22"/>
      <c r="H125" s="2"/>
      <c r="I125" s="2"/>
    </row>
    <row r="126" spans="1:9">
      <c r="A126" s="29"/>
      <c r="B126" s="26" t="s">
        <v>394</v>
      </c>
      <c r="C126" s="22"/>
      <c r="D126" s="13">
        <v>162</v>
      </c>
      <c r="E126" s="46" t="s">
        <v>585</v>
      </c>
      <c r="F126" s="22" t="s">
        <v>490</v>
      </c>
      <c r="G126" s="22">
        <f t="shared" si="1"/>
        <v>0</v>
      </c>
      <c r="H126" s="24" t="s">
        <v>581</v>
      </c>
      <c r="I126" s="2"/>
    </row>
    <row r="127" spans="1:9">
      <c r="A127" s="29"/>
      <c r="B127" s="29"/>
      <c r="C127" s="2"/>
      <c r="D127" s="15" t="s">
        <v>586</v>
      </c>
      <c r="E127" s="47" t="s">
        <v>587</v>
      </c>
      <c r="F127" s="2" t="s">
        <v>87</v>
      </c>
      <c r="G127" s="22">
        <f t="shared" si="1"/>
        <v>1</v>
      </c>
      <c r="H127" s="21" t="s">
        <v>588</v>
      </c>
      <c r="I127" s="2"/>
    </row>
    <row r="128" spans="1:9">
      <c r="A128" s="29"/>
      <c r="B128" s="29"/>
      <c r="C128" s="2"/>
      <c r="D128" s="15" t="s">
        <v>589</v>
      </c>
      <c r="E128" s="47" t="s">
        <v>590</v>
      </c>
      <c r="F128" s="2" t="s">
        <v>87</v>
      </c>
      <c r="G128" s="22">
        <f t="shared" si="1"/>
        <v>1</v>
      </c>
      <c r="H128" s="21" t="s">
        <v>511</v>
      </c>
      <c r="I128" s="2"/>
    </row>
    <row r="129" spans="1:9">
      <c r="A129" s="29"/>
      <c r="B129" s="30"/>
      <c r="C129" s="23"/>
      <c r="D129" s="23"/>
      <c r="E129" s="51"/>
      <c r="F129" s="23"/>
      <c r="G129" s="22">
        <f t="shared" si="1"/>
        <v>0</v>
      </c>
      <c r="H129" s="25" t="s">
        <v>513</v>
      </c>
      <c r="I129" s="2"/>
    </row>
    <row r="130" spans="1:9">
      <c r="A130" s="29"/>
      <c r="B130" s="2"/>
      <c r="C130" s="2"/>
      <c r="D130" s="2"/>
      <c r="E130" s="47"/>
      <c r="F130" s="2"/>
      <c r="G130" s="22"/>
      <c r="H130" s="2"/>
      <c r="I130" s="2"/>
    </row>
    <row r="131" spans="1:9">
      <c r="A131" s="29"/>
      <c r="B131" s="26" t="s">
        <v>419</v>
      </c>
      <c r="C131" s="22"/>
      <c r="D131" s="13"/>
      <c r="E131" s="46" t="s">
        <v>591</v>
      </c>
      <c r="F131" s="22" t="s">
        <v>490</v>
      </c>
      <c r="G131" s="22">
        <f t="shared" ref="G130:G151" si="2">IF(F131="TP", 1, 0)</f>
        <v>0</v>
      </c>
      <c r="H131" s="24" t="s">
        <v>592</v>
      </c>
      <c r="I131" s="2"/>
    </row>
    <row r="132" spans="1:9">
      <c r="A132" s="29"/>
      <c r="B132" s="29"/>
      <c r="C132" s="2"/>
      <c r="D132" s="15"/>
      <c r="E132" s="47" t="s">
        <v>593</v>
      </c>
      <c r="F132" s="2" t="s">
        <v>87</v>
      </c>
      <c r="G132" s="22">
        <f t="shared" si="2"/>
        <v>1</v>
      </c>
      <c r="H132" s="21"/>
      <c r="I132" s="2"/>
    </row>
    <row r="133" spans="1:9" ht="21" customHeight="1">
      <c r="A133" s="29"/>
      <c r="B133" s="29"/>
      <c r="C133" s="2"/>
      <c r="D133" s="15"/>
      <c r="E133" s="47" t="s">
        <v>594</v>
      </c>
      <c r="F133" s="2" t="s">
        <v>490</v>
      </c>
      <c r="G133" s="22">
        <f t="shared" si="2"/>
        <v>0</v>
      </c>
      <c r="H133" s="21"/>
      <c r="I133" s="2"/>
    </row>
    <row r="134" spans="1:9">
      <c r="A134" s="2"/>
      <c r="B134" s="30"/>
      <c r="C134" s="23"/>
      <c r="D134" s="17"/>
      <c r="E134" s="51"/>
      <c r="F134" s="23"/>
      <c r="G134" s="22"/>
      <c r="H134" s="25"/>
      <c r="I134" s="2"/>
    </row>
    <row r="135" spans="1:9">
      <c r="A135" s="2"/>
      <c r="B135" s="2"/>
      <c r="C135" s="2"/>
      <c r="D135" s="2"/>
      <c r="E135" s="47"/>
      <c r="F135" s="2"/>
      <c r="G135" s="22"/>
      <c r="H135" s="2"/>
      <c r="I135" s="2"/>
    </row>
    <row r="136" spans="1:9" ht="29.25">
      <c r="A136" s="29" t="s">
        <v>445</v>
      </c>
      <c r="B136" s="26" t="s">
        <v>446</v>
      </c>
      <c r="C136" s="22"/>
      <c r="D136" s="13" t="s">
        <v>595</v>
      </c>
      <c r="E136" s="46" t="s">
        <v>580</v>
      </c>
      <c r="F136" s="22" t="s">
        <v>490</v>
      </c>
      <c r="G136" s="22">
        <f t="shared" si="2"/>
        <v>0</v>
      </c>
      <c r="H136" s="24" t="s">
        <v>16</v>
      </c>
      <c r="I136" s="2"/>
    </row>
    <row r="137" spans="1:9">
      <c r="A137" s="29"/>
      <c r="B137" s="29"/>
      <c r="C137" s="2"/>
      <c r="D137" s="64" t="s">
        <v>596</v>
      </c>
      <c r="E137" s="47" t="s">
        <v>597</v>
      </c>
      <c r="F137" s="22" t="s">
        <v>490</v>
      </c>
      <c r="G137" s="22">
        <f t="shared" si="2"/>
        <v>0</v>
      </c>
      <c r="H137" s="21" t="s">
        <v>551</v>
      </c>
      <c r="I137" s="2"/>
    </row>
    <row r="138" spans="1:9">
      <c r="A138" s="29"/>
      <c r="B138" s="29"/>
      <c r="C138" s="2"/>
      <c r="D138" s="64"/>
      <c r="E138" s="47" t="s">
        <v>537</v>
      </c>
      <c r="F138" s="22" t="s">
        <v>490</v>
      </c>
      <c r="G138" s="22">
        <f t="shared" si="2"/>
        <v>0</v>
      </c>
      <c r="H138" s="21"/>
      <c r="I138" s="2"/>
    </row>
    <row r="139" spans="1:9">
      <c r="A139" s="29"/>
      <c r="B139" s="30"/>
      <c r="C139" s="23"/>
      <c r="D139" s="65"/>
      <c r="E139" s="51" t="s">
        <v>560</v>
      </c>
      <c r="F139" s="22" t="s">
        <v>490</v>
      </c>
      <c r="G139" s="22">
        <f t="shared" si="2"/>
        <v>0</v>
      </c>
      <c r="H139" s="25"/>
      <c r="I139" s="2"/>
    </row>
    <row r="140" spans="1:9">
      <c r="A140" s="29"/>
      <c r="B140" s="2"/>
      <c r="C140" s="2"/>
      <c r="D140" s="2"/>
      <c r="E140" s="47"/>
      <c r="F140" s="22"/>
      <c r="G140" s="22"/>
      <c r="H140" s="2"/>
      <c r="I140" s="2"/>
    </row>
    <row r="141" spans="1:9">
      <c r="A141" s="29"/>
      <c r="B141" s="26" t="s">
        <v>459</v>
      </c>
      <c r="C141" s="22"/>
      <c r="D141" s="13"/>
      <c r="E141" s="46" t="s">
        <v>598</v>
      </c>
      <c r="F141" s="22" t="s">
        <v>490</v>
      </c>
      <c r="G141" s="22">
        <f t="shared" si="2"/>
        <v>0</v>
      </c>
      <c r="H141" s="24" t="s">
        <v>599</v>
      </c>
      <c r="I141" s="2"/>
    </row>
    <row r="142" spans="1:9">
      <c r="A142" s="29"/>
      <c r="B142" s="29"/>
      <c r="C142" s="2"/>
      <c r="D142" s="15"/>
      <c r="E142" s="47" t="s">
        <v>597</v>
      </c>
      <c r="F142" s="22" t="s">
        <v>490</v>
      </c>
      <c r="G142" s="22">
        <f t="shared" si="2"/>
        <v>0</v>
      </c>
      <c r="H142" s="21" t="s">
        <v>600</v>
      </c>
      <c r="I142" s="2"/>
    </row>
    <row r="143" spans="1:9">
      <c r="A143" s="29"/>
      <c r="B143" s="29"/>
      <c r="C143" s="2"/>
      <c r="D143" s="15"/>
      <c r="E143" s="84" t="s">
        <v>601</v>
      </c>
      <c r="F143" s="22" t="s">
        <v>490</v>
      </c>
      <c r="G143" s="22">
        <f t="shared" si="2"/>
        <v>0</v>
      </c>
      <c r="H143" s="21" t="s">
        <v>599</v>
      </c>
      <c r="I143" s="2"/>
    </row>
    <row r="144" spans="1:9">
      <c r="A144" s="29"/>
      <c r="B144" s="29"/>
      <c r="C144" s="2"/>
      <c r="D144" s="15"/>
      <c r="E144" s="47" t="s">
        <v>379</v>
      </c>
      <c r="F144" s="22" t="s">
        <v>490</v>
      </c>
      <c r="G144" s="22">
        <f t="shared" si="2"/>
        <v>0</v>
      </c>
      <c r="H144" s="21" t="s">
        <v>556</v>
      </c>
      <c r="I144" s="2"/>
    </row>
    <row r="145" spans="1:9">
      <c r="A145" s="29"/>
      <c r="B145" s="29"/>
      <c r="C145" s="2"/>
      <c r="D145" s="15"/>
      <c r="E145" s="47"/>
      <c r="F145" s="22"/>
      <c r="G145" s="22">
        <v>0</v>
      </c>
      <c r="H145" s="21" t="s">
        <v>602</v>
      </c>
      <c r="I145" s="2"/>
    </row>
    <row r="146" spans="1:9">
      <c r="A146" s="29"/>
      <c r="B146" s="30"/>
      <c r="C146" s="23"/>
      <c r="D146" s="17"/>
      <c r="E146" s="51"/>
      <c r="F146" s="22"/>
      <c r="G146" s="22">
        <v>0</v>
      </c>
      <c r="H146" s="25" t="s">
        <v>603</v>
      </c>
      <c r="I146" s="2"/>
    </row>
    <row r="147" spans="1:9">
      <c r="A147" s="29"/>
      <c r="B147" s="2"/>
      <c r="C147" s="2"/>
      <c r="D147" s="2"/>
      <c r="E147" s="47"/>
      <c r="F147" s="22"/>
      <c r="G147" s="22"/>
      <c r="H147" s="2"/>
      <c r="I147" s="2"/>
    </row>
    <row r="148" spans="1:9">
      <c r="A148" s="29"/>
      <c r="B148" s="26" t="s">
        <v>469</v>
      </c>
      <c r="C148" s="22"/>
      <c r="D148" s="13">
        <v>18</v>
      </c>
      <c r="E148" s="46" t="s">
        <v>585</v>
      </c>
      <c r="F148" s="22" t="s">
        <v>87</v>
      </c>
      <c r="G148" s="22">
        <f t="shared" si="2"/>
        <v>1</v>
      </c>
      <c r="H148" s="24" t="s">
        <v>508</v>
      </c>
      <c r="I148" s="2"/>
    </row>
    <row r="149" spans="1:9">
      <c r="A149" s="29"/>
      <c r="B149" s="29"/>
      <c r="C149" s="2"/>
      <c r="D149" s="45" t="s">
        <v>604</v>
      </c>
      <c r="E149" s="47" t="s">
        <v>605</v>
      </c>
      <c r="F149" s="22" t="s">
        <v>490</v>
      </c>
      <c r="G149" s="22">
        <f t="shared" si="2"/>
        <v>0</v>
      </c>
      <c r="H149" s="21" t="s">
        <v>602</v>
      </c>
      <c r="I149" s="2"/>
    </row>
    <row r="150" spans="1:9">
      <c r="A150" s="29"/>
      <c r="B150" s="29"/>
      <c r="C150" s="2"/>
      <c r="D150" s="15" t="s">
        <v>606</v>
      </c>
      <c r="E150" s="47" t="s">
        <v>607</v>
      </c>
      <c r="F150" s="22" t="s">
        <v>490</v>
      </c>
      <c r="G150" s="22">
        <f t="shared" si="2"/>
        <v>0</v>
      </c>
      <c r="H150" s="21" t="s">
        <v>600</v>
      </c>
      <c r="I150" s="2"/>
    </row>
    <row r="151" spans="1:9">
      <c r="A151" s="2"/>
      <c r="B151" s="30"/>
      <c r="C151" s="23"/>
      <c r="D151" s="17"/>
      <c r="E151" s="51"/>
      <c r="F151" s="23" t="s">
        <v>87</v>
      </c>
      <c r="G151" s="91">
        <f>SUM(G2:G150)</f>
        <v>28</v>
      </c>
      <c r="H151" s="25"/>
      <c r="I151" s="2"/>
    </row>
    <row r="152" spans="1:9">
      <c r="A152" s="2"/>
      <c r="B152" s="2"/>
      <c r="C152" s="2"/>
      <c r="D152" s="2"/>
      <c r="E152" s="47"/>
      <c r="F152" s="2"/>
      <c r="G152" s="2"/>
      <c r="H152" s="2"/>
      <c r="I152" s="2"/>
    </row>
    <row r="153" spans="1:9">
      <c r="A153" s="2"/>
      <c r="B153" s="2"/>
      <c r="C153" s="2"/>
      <c r="D153" s="2"/>
      <c r="E153" s="47" t="s">
        <v>608</v>
      </c>
      <c r="F153" s="2" t="s">
        <v>490</v>
      </c>
      <c r="G153" s="2">
        <f>COUNTIF(G2:G150, "=0")</f>
        <v>77</v>
      </c>
      <c r="H153" s="2"/>
      <c r="I153" s="2"/>
    </row>
    <row r="154" spans="1:9">
      <c r="A154" s="2"/>
      <c r="B154" s="2"/>
      <c r="C154" s="2"/>
      <c r="D154" s="2"/>
      <c r="E154" s="47" t="s">
        <v>609</v>
      </c>
      <c r="F154" s="2"/>
      <c r="G154" s="2"/>
      <c r="H154" s="2"/>
      <c r="I154" s="2"/>
    </row>
    <row r="155" spans="1:9">
      <c r="A155" s="2"/>
      <c r="B155" s="2"/>
      <c r="C155" s="2"/>
      <c r="D155" s="2"/>
      <c r="E155" s="47"/>
      <c r="F155" s="2"/>
      <c r="G155" s="2"/>
      <c r="H155" s="2"/>
      <c r="I155" s="2"/>
    </row>
    <row r="156" spans="1:9">
      <c r="A156" s="2"/>
      <c r="B156" s="2"/>
      <c r="C156" s="2"/>
      <c r="D156" s="2"/>
      <c r="E156" s="47"/>
      <c r="F156" s="2"/>
      <c r="G156" s="2"/>
      <c r="H156" s="2"/>
      <c r="I156" s="2"/>
    </row>
    <row r="157" spans="1:9">
      <c r="A157" s="2"/>
      <c r="B157" s="2"/>
      <c r="C157" s="2"/>
      <c r="D157" s="2"/>
      <c r="E157" s="47"/>
      <c r="F157" s="2"/>
      <c r="G157" s="2"/>
      <c r="H157" s="2"/>
      <c r="I157" s="2"/>
    </row>
    <row r="158" spans="1:9">
      <c r="A158" s="2"/>
      <c r="B158" s="2"/>
      <c r="C158" s="2"/>
      <c r="D158" s="2"/>
      <c r="E158" s="47"/>
      <c r="F158" s="2"/>
      <c r="G158" s="2"/>
      <c r="H158" s="2"/>
      <c r="I158" s="2"/>
    </row>
    <row r="159" spans="1:9">
      <c r="A159" s="2"/>
      <c r="B159" s="2"/>
      <c r="C159" s="2"/>
      <c r="D159" s="2"/>
      <c r="E159" s="47"/>
      <c r="F159" s="2"/>
      <c r="G159" s="2"/>
      <c r="H159" s="2"/>
      <c r="I159" s="2"/>
    </row>
    <row r="160" spans="1:9">
      <c r="A160" s="2"/>
      <c r="B160" s="2"/>
      <c r="C160" s="2"/>
      <c r="D160" s="2"/>
      <c r="E160" s="47"/>
      <c r="F160" s="2"/>
      <c r="G160" s="2"/>
      <c r="H160" s="2"/>
      <c r="I160" s="2"/>
    </row>
    <row r="161" spans="1:9">
      <c r="A161" s="2"/>
      <c r="B161" s="2"/>
      <c r="C161" s="2"/>
      <c r="D161" s="2"/>
      <c r="E161" s="47"/>
      <c r="F161" s="2"/>
      <c r="G161" s="2"/>
      <c r="H161" s="2"/>
      <c r="I161" s="2"/>
    </row>
    <row r="162" spans="1:9">
      <c r="A162" s="2"/>
      <c r="B162" s="2"/>
      <c r="C162" s="2"/>
      <c r="D162" s="2"/>
      <c r="E162" s="47"/>
      <c r="F162" s="2"/>
      <c r="G162" s="2"/>
      <c r="H162" s="2"/>
      <c r="I162" s="2"/>
    </row>
    <row r="163" spans="1:9">
      <c r="A163" s="2"/>
      <c r="B163" s="2"/>
      <c r="C163" s="2"/>
      <c r="D163" s="2"/>
      <c r="E163" s="47"/>
      <c r="F163" s="2"/>
      <c r="G163" s="2"/>
      <c r="H163" s="2"/>
      <c r="I163" s="2"/>
    </row>
    <row r="164" spans="1:9">
      <c r="A164" s="2"/>
      <c r="B164" s="2"/>
      <c r="C164" s="2"/>
      <c r="D164" s="2"/>
      <c r="E164" s="47"/>
      <c r="F164" s="2"/>
      <c r="G164" s="2"/>
      <c r="H164" s="2"/>
      <c r="I164" s="2"/>
    </row>
    <row r="165" spans="1:9">
      <c r="A165" s="2"/>
      <c r="B165" s="2"/>
      <c r="C165" s="2"/>
      <c r="D165" s="2"/>
      <c r="E165" s="47"/>
      <c r="F165" s="2"/>
      <c r="G165" s="2"/>
      <c r="H165" s="2"/>
      <c r="I165" s="2"/>
    </row>
    <row r="166" spans="1:9">
      <c r="A166" s="2"/>
      <c r="B166" s="2"/>
      <c r="C166" s="2"/>
      <c r="D166" s="2"/>
      <c r="E166" s="47"/>
      <c r="F166" s="2"/>
      <c r="G166" s="2"/>
      <c r="H166" s="2"/>
      <c r="I166" s="2"/>
    </row>
    <row r="167" spans="1:9">
      <c r="A167" s="2"/>
      <c r="B167" s="2"/>
      <c r="C167" s="2"/>
      <c r="D167" s="2"/>
      <c r="E167" s="47"/>
      <c r="F167" s="2"/>
      <c r="G167" s="2"/>
      <c r="H167" s="2"/>
      <c r="I167" s="2"/>
    </row>
    <row r="168" spans="1:9">
      <c r="A168" s="2"/>
      <c r="B168" s="2"/>
      <c r="C168" s="2"/>
      <c r="D168" s="2"/>
      <c r="E168" s="47"/>
      <c r="F168" s="2"/>
      <c r="G168" s="2"/>
      <c r="H168" s="2"/>
      <c r="I168" s="2"/>
    </row>
    <row r="169" spans="1:9">
      <c r="A169" s="2"/>
      <c r="B169" s="2"/>
      <c r="C169" s="2"/>
      <c r="D169" s="2"/>
      <c r="E169" s="47"/>
      <c r="F169" s="2"/>
      <c r="G169" s="2"/>
      <c r="H169" s="2"/>
    </row>
    <row r="170" spans="1:9">
      <c r="A170" s="2"/>
      <c r="B170" s="2"/>
      <c r="C170" s="2"/>
      <c r="D170" s="2"/>
      <c r="E170" s="47"/>
      <c r="F170" s="2"/>
      <c r="G170" s="2"/>
      <c r="H170" s="2"/>
    </row>
    <row r="171" spans="1:9">
      <c r="A171" s="2"/>
      <c r="B171" s="2"/>
      <c r="C171" s="2"/>
      <c r="D171" s="2"/>
      <c r="E171" s="47"/>
      <c r="F171" s="2"/>
      <c r="G171" s="2"/>
      <c r="H171" s="2"/>
    </row>
    <row r="172" spans="1:9">
      <c r="A172" s="2"/>
      <c r="B172" s="2"/>
      <c r="C172" s="2"/>
      <c r="D172" s="2"/>
      <c r="E172" s="47"/>
      <c r="F172" s="2"/>
      <c r="G172" s="2"/>
      <c r="H172" s="2"/>
    </row>
    <row r="173" spans="1:9">
      <c r="A173" s="2"/>
      <c r="B173" s="2"/>
      <c r="C173" s="2"/>
      <c r="D173" s="2"/>
      <c r="E173" s="47"/>
      <c r="F173" s="2"/>
      <c r="G173" s="2"/>
      <c r="H173" s="2"/>
    </row>
    <row r="174" spans="1:9">
      <c r="A174" s="2"/>
      <c r="B174" s="2"/>
      <c r="C174" s="2"/>
      <c r="D174" s="2"/>
      <c r="E174" s="47"/>
      <c r="F174" s="2"/>
      <c r="G174" s="2"/>
      <c r="H174" s="2"/>
    </row>
    <row r="175" spans="1:9">
      <c r="A175" s="2"/>
      <c r="B175" s="2"/>
      <c r="C175" s="2"/>
      <c r="D175" s="2"/>
      <c r="E175" s="47"/>
      <c r="F175" s="2"/>
      <c r="G175" s="2"/>
      <c r="H175" s="2"/>
    </row>
    <row r="176" spans="1:9">
      <c r="A176" s="2"/>
      <c r="B176" s="2"/>
      <c r="C176" s="2"/>
      <c r="D176" s="2"/>
      <c r="E176" s="47"/>
      <c r="F176" s="2"/>
      <c r="G176" s="2"/>
      <c r="H176" s="2"/>
    </row>
    <row r="177" spans="1:8">
      <c r="A177" s="2"/>
      <c r="B177" s="2"/>
      <c r="C177" s="2"/>
      <c r="D177" s="2"/>
      <c r="E177" s="47"/>
      <c r="F177" s="2"/>
      <c r="G177" s="2"/>
      <c r="H177" s="2"/>
    </row>
    <row r="178" spans="1:8">
      <c r="A178" s="2"/>
      <c r="B178" s="2"/>
      <c r="C178" s="2"/>
      <c r="D178" s="2"/>
      <c r="E178" s="47"/>
      <c r="F178" s="2"/>
      <c r="G178" s="2"/>
      <c r="H178" s="2"/>
    </row>
    <row r="179" spans="1:8">
      <c r="A179" s="2"/>
      <c r="B179" s="2"/>
      <c r="C179" s="2"/>
      <c r="D179" s="2"/>
      <c r="E179" s="47"/>
      <c r="F179" s="2"/>
      <c r="G179" s="2"/>
      <c r="H179" s="2"/>
    </row>
    <row r="180" spans="1:8">
      <c r="A180" s="2"/>
      <c r="B180" s="2"/>
      <c r="C180" s="2"/>
      <c r="D180" s="2"/>
      <c r="E180" s="47"/>
      <c r="F180" s="2"/>
      <c r="G180" s="2"/>
      <c r="H180" s="2"/>
    </row>
    <row r="181" spans="1:8">
      <c r="A181" s="2"/>
      <c r="B181" s="2"/>
      <c r="C181" s="2"/>
      <c r="D181" s="2"/>
      <c r="E181" s="47"/>
      <c r="F181" s="2"/>
      <c r="G181" s="2"/>
      <c r="H181" s="2"/>
    </row>
    <row r="182" spans="1:8">
      <c r="A182" s="2"/>
      <c r="B182" s="2"/>
      <c r="C182" s="2"/>
      <c r="D182" s="2"/>
      <c r="E182" s="47"/>
      <c r="F182" s="2"/>
      <c r="G182" s="2"/>
      <c r="H182" s="2"/>
    </row>
    <row r="183" spans="1:8">
      <c r="A183" s="2"/>
      <c r="B183" s="2"/>
      <c r="C183" s="2"/>
      <c r="D183" s="2"/>
      <c r="E183" s="47"/>
      <c r="F183" s="2"/>
      <c r="G183" s="2"/>
      <c r="H183" s="2"/>
    </row>
    <row r="184" spans="1:8">
      <c r="A184" s="2"/>
      <c r="B184" s="2"/>
      <c r="C184" s="2"/>
      <c r="D184" s="2"/>
      <c r="E184" s="47"/>
      <c r="F184" s="2"/>
      <c r="G184" s="2"/>
      <c r="H184" s="2"/>
    </row>
    <row r="185" spans="1:8">
      <c r="A185" s="2"/>
      <c r="B185" s="2"/>
      <c r="C185" s="2"/>
      <c r="D185" s="2"/>
      <c r="E185" s="47"/>
      <c r="F185" s="2"/>
      <c r="G185" s="2"/>
      <c r="H185" s="2"/>
    </row>
    <row r="186" spans="1:8">
      <c r="A186" s="2"/>
      <c r="B186" s="2"/>
      <c r="C186" s="2"/>
      <c r="D186" s="2"/>
      <c r="E186" s="47"/>
      <c r="F186" s="2"/>
      <c r="G186" s="2"/>
      <c r="H186" s="2"/>
    </row>
    <row r="187" spans="1:8">
      <c r="A187" s="2"/>
      <c r="B187" s="2"/>
      <c r="C187" s="2"/>
      <c r="D187" s="2"/>
      <c r="E187" s="47"/>
      <c r="F187" s="2"/>
      <c r="G187" s="2"/>
      <c r="H187" s="2"/>
    </row>
    <row r="188" spans="1:8">
      <c r="A188" s="2"/>
      <c r="B188" s="2"/>
      <c r="C188" s="2"/>
      <c r="D188" s="2"/>
      <c r="E188" s="47"/>
      <c r="F188" s="2"/>
      <c r="G188" s="2"/>
      <c r="H188" s="2"/>
    </row>
    <row r="189" spans="1:8">
      <c r="A189" s="2"/>
      <c r="B189" s="2"/>
      <c r="C189" s="2"/>
      <c r="D189" s="2"/>
      <c r="E189" s="47"/>
      <c r="F189" s="2"/>
      <c r="G189" s="2"/>
      <c r="H189" s="2"/>
    </row>
    <row r="190" spans="1:8">
      <c r="A190" s="2"/>
      <c r="B190" s="2"/>
      <c r="C190" s="2"/>
      <c r="D190" s="2"/>
      <c r="E190" s="47"/>
      <c r="F190" s="2"/>
      <c r="G190" s="2"/>
      <c r="H190" s="2"/>
    </row>
    <row r="191" spans="1:8">
      <c r="A191" s="2"/>
      <c r="B191" s="2"/>
      <c r="C191" s="2"/>
      <c r="D191" s="2"/>
      <c r="E191" s="47"/>
      <c r="F191" s="2"/>
      <c r="G191" s="2"/>
      <c r="H191" s="2"/>
    </row>
    <row r="192" spans="1:8">
      <c r="A192" s="2"/>
      <c r="B192" s="2"/>
      <c r="C192" s="2"/>
      <c r="D192" s="2"/>
      <c r="E192" s="47"/>
      <c r="F192" s="2"/>
      <c r="G192" s="2"/>
      <c r="H192" s="2"/>
    </row>
    <row r="193" spans="1:8">
      <c r="A193" s="2"/>
      <c r="B193" s="2"/>
      <c r="C193" s="2"/>
      <c r="D193" s="2"/>
      <c r="E193" s="47"/>
      <c r="F193" s="2"/>
      <c r="G193" s="2"/>
      <c r="H193" s="2"/>
    </row>
    <row r="194" spans="1:8">
      <c r="A194" s="2"/>
      <c r="B194" s="2"/>
      <c r="C194" s="2"/>
      <c r="D194" s="2"/>
      <c r="E194" s="47"/>
      <c r="F194" s="2"/>
      <c r="G194" s="2"/>
      <c r="H194" s="2"/>
    </row>
    <row r="195" spans="1:8">
      <c r="A195" s="2"/>
      <c r="B195" s="2"/>
      <c r="C195" s="2"/>
      <c r="D195" s="2"/>
      <c r="E195" s="47"/>
      <c r="F195" s="2"/>
      <c r="G195" s="2"/>
      <c r="H195" s="2"/>
    </row>
    <row r="196" spans="1:8">
      <c r="A196" s="2"/>
      <c r="B196" s="2"/>
      <c r="C196" s="2"/>
      <c r="D196" s="2"/>
      <c r="E196" s="47"/>
      <c r="F196" s="2"/>
      <c r="G196" s="2"/>
      <c r="H196" s="2"/>
    </row>
    <row r="197" spans="1:8">
      <c r="A197" s="2"/>
      <c r="B197" s="2"/>
      <c r="C197" s="2"/>
      <c r="D197" s="2"/>
      <c r="E197" s="47"/>
      <c r="F197" s="2"/>
      <c r="G197" s="2"/>
      <c r="H197" s="2"/>
    </row>
    <row r="198" spans="1:8">
      <c r="A198" s="2"/>
      <c r="B198" s="2"/>
      <c r="C198" s="2"/>
      <c r="D198" s="2"/>
      <c r="E198" s="47"/>
      <c r="F198" s="2"/>
      <c r="G198" s="2"/>
      <c r="H198" s="2"/>
    </row>
    <row r="199" spans="1:8">
      <c r="A199" s="2"/>
      <c r="B199" s="2"/>
      <c r="C199" s="2"/>
      <c r="D199" s="2"/>
      <c r="E199" s="47"/>
      <c r="F199" s="2"/>
      <c r="G199" s="2"/>
      <c r="H199" s="2"/>
    </row>
    <row r="200" spans="1:8">
      <c r="A200" s="2"/>
      <c r="B200" s="2"/>
      <c r="C200" s="2"/>
      <c r="D200" s="2"/>
      <c r="E200" s="47"/>
      <c r="F200" s="2"/>
      <c r="G200" s="2"/>
      <c r="H200" s="2"/>
    </row>
    <row r="201" spans="1:8">
      <c r="A201" s="2"/>
      <c r="B201" s="2"/>
      <c r="C201" s="2"/>
      <c r="D201" s="2"/>
      <c r="E201" s="47"/>
      <c r="F201" s="2"/>
      <c r="G201" s="2"/>
      <c r="H201" s="2"/>
    </row>
    <row r="202" spans="1:8">
      <c r="A202" s="2"/>
      <c r="B202" s="2"/>
      <c r="C202" s="2"/>
      <c r="D202" s="2"/>
      <c r="E202" s="47"/>
      <c r="F202" s="2"/>
      <c r="G202" s="2"/>
      <c r="H202" s="2"/>
    </row>
    <row r="203" spans="1:8">
      <c r="A203" s="2"/>
      <c r="B203" s="2"/>
      <c r="C203" s="2"/>
      <c r="D203" s="2"/>
      <c r="E203" s="47"/>
      <c r="F203" s="2"/>
      <c r="G203" s="2"/>
      <c r="H203" s="2"/>
    </row>
    <row r="204" spans="1:8">
      <c r="A204" s="2"/>
      <c r="B204" s="2"/>
      <c r="C204" s="2"/>
      <c r="D204" s="2"/>
      <c r="E204" s="47"/>
      <c r="F204" s="2"/>
      <c r="G204" s="2"/>
      <c r="H204" s="2"/>
    </row>
    <row r="205" spans="1:8">
      <c r="A205" s="2"/>
      <c r="B205" s="2"/>
      <c r="C205" s="2"/>
      <c r="D205" s="2"/>
      <c r="E205" s="47"/>
      <c r="F205" s="2"/>
      <c r="G205" s="2"/>
      <c r="H205" s="2"/>
    </row>
    <row r="206" spans="1:8">
      <c r="A206" s="2"/>
      <c r="B206" s="2"/>
      <c r="C206" s="2"/>
      <c r="D206" s="2"/>
      <c r="E206" s="47"/>
      <c r="F206" s="2"/>
      <c r="G206" s="2"/>
      <c r="H206" s="2"/>
    </row>
    <row r="207" spans="1:8">
      <c r="A207" s="2"/>
      <c r="B207" s="2"/>
      <c r="C207" s="2"/>
      <c r="D207" s="2"/>
      <c r="E207" s="47"/>
      <c r="F207" s="2"/>
      <c r="G207" s="2"/>
      <c r="H207" s="2"/>
    </row>
    <row r="208" spans="1:8">
      <c r="A208" s="2"/>
      <c r="B208" s="2"/>
      <c r="C208" s="2"/>
      <c r="D208" s="2"/>
      <c r="E208" s="47"/>
      <c r="F208" s="2"/>
      <c r="G208" s="2"/>
      <c r="H208" s="2"/>
    </row>
    <row r="209" spans="1:8">
      <c r="A209" s="2"/>
      <c r="B209" s="2"/>
      <c r="C209" s="2"/>
      <c r="D209" s="2"/>
      <c r="E209" s="47"/>
      <c r="F209" s="2"/>
      <c r="G209" s="2"/>
      <c r="H209" s="2"/>
    </row>
    <row r="210" spans="1:8">
      <c r="A210" s="2"/>
      <c r="B210" s="2"/>
      <c r="C210" s="2"/>
      <c r="D210" s="2"/>
      <c r="E210" s="47"/>
      <c r="F210" s="2"/>
      <c r="G210" s="2"/>
      <c r="H210" s="2"/>
    </row>
    <row r="211" spans="1:8">
      <c r="A211" s="2"/>
      <c r="B211" s="2"/>
      <c r="C211" s="2"/>
      <c r="D211" s="2"/>
      <c r="E211" s="47"/>
      <c r="F211" s="2"/>
      <c r="G211" s="2"/>
      <c r="H211" s="2"/>
    </row>
    <row r="212" spans="1:8">
      <c r="A212" s="2"/>
      <c r="B212" s="2"/>
      <c r="C212" s="2"/>
      <c r="D212" s="2"/>
      <c r="E212" s="47"/>
      <c r="F212" s="2"/>
      <c r="G212" s="2"/>
      <c r="H212" s="2"/>
    </row>
    <row r="213" spans="1:8">
      <c r="A213" s="2"/>
      <c r="B213" s="2"/>
      <c r="C213" s="2"/>
      <c r="D213" s="2"/>
      <c r="E213" s="47"/>
      <c r="F213" s="2"/>
      <c r="G213" s="2"/>
      <c r="H213" s="2"/>
    </row>
    <row r="214" spans="1:8">
      <c r="A214" s="2"/>
      <c r="B214" s="2"/>
      <c r="C214" s="2"/>
      <c r="D214" s="2"/>
      <c r="E214" s="47"/>
      <c r="F214" s="2"/>
      <c r="G214" s="2"/>
      <c r="H214" s="2"/>
    </row>
    <row r="215" spans="1:8">
      <c r="A215" s="2"/>
      <c r="B215" s="2"/>
      <c r="C215" s="2"/>
      <c r="D215" s="2"/>
      <c r="E215" s="47"/>
      <c r="F215" s="2"/>
      <c r="G215" s="2"/>
      <c r="H215" s="2"/>
    </row>
    <row r="216" spans="1:8">
      <c r="A216" s="2"/>
      <c r="B216" s="2"/>
      <c r="C216" s="2"/>
      <c r="D216" s="2"/>
      <c r="E216" s="47"/>
      <c r="F216" s="2"/>
      <c r="G216" s="2"/>
      <c r="H216" s="2"/>
    </row>
    <row r="217" spans="1:8">
      <c r="A217" s="2"/>
      <c r="B217" s="2"/>
      <c r="C217" s="2"/>
      <c r="D217" s="2"/>
      <c r="E217" s="47"/>
      <c r="F217" s="2"/>
      <c r="G217" s="2"/>
      <c r="H217" s="2"/>
    </row>
    <row r="218" spans="1:8">
      <c r="A218" s="2"/>
      <c r="B218" s="2"/>
      <c r="C218" s="2"/>
      <c r="D218" s="2"/>
      <c r="E218" s="47"/>
      <c r="F218" s="2"/>
      <c r="G218" s="2"/>
      <c r="H218" s="2"/>
    </row>
    <row r="219" spans="1:8">
      <c r="A219" s="2"/>
      <c r="B219" s="2"/>
      <c r="C219" s="2"/>
      <c r="D219" s="2"/>
      <c r="E219" s="47"/>
      <c r="F219" s="2"/>
      <c r="G219" s="2"/>
      <c r="H219" s="2"/>
    </row>
    <row r="220" spans="1:8">
      <c r="A220" s="2"/>
      <c r="B220" s="2"/>
      <c r="C220" s="2"/>
      <c r="D220" s="2"/>
      <c r="E220" s="47"/>
      <c r="F220" s="2"/>
      <c r="G220" s="2"/>
      <c r="H220" s="2"/>
    </row>
    <row r="221" spans="1:8">
      <c r="A221" s="2"/>
      <c r="B221" s="2"/>
      <c r="C221" s="2"/>
      <c r="D221" s="2"/>
      <c r="E221" s="47"/>
      <c r="F221" s="2"/>
      <c r="G221" s="2"/>
      <c r="H221" s="2"/>
    </row>
    <row r="222" spans="1:8">
      <c r="A222" s="2"/>
      <c r="B222" s="2"/>
      <c r="C222" s="2"/>
      <c r="D222" s="2"/>
      <c r="E222" s="47"/>
      <c r="F222" s="2"/>
      <c r="G222" s="2"/>
      <c r="H222" s="2"/>
    </row>
    <row r="223" spans="1:8">
      <c r="A223" s="2"/>
      <c r="B223" s="2"/>
      <c r="C223" s="2"/>
      <c r="D223" s="2"/>
      <c r="E223" s="47"/>
      <c r="F223" s="2"/>
      <c r="G223" s="2"/>
      <c r="H223" s="2"/>
    </row>
    <row r="224" spans="1:8">
      <c r="A224" s="2"/>
      <c r="B224" s="2"/>
      <c r="C224" s="2"/>
      <c r="D224" s="2"/>
      <c r="E224" s="47"/>
      <c r="F224" s="2"/>
      <c r="G224" s="2"/>
      <c r="H224" s="2"/>
    </row>
    <row r="225" spans="1:8">
      <c r="A225" s="2"/>
      <c r="B225" s="2"/>
      <c r="C225" s="2"/>
      <c r="D225" s="2"/>
      <c r="E225" s="47"/>
      <c r="F225" s="2"/>
      <c r="G225" s="2"/>
      <c r="H225" s="2"/>
    </row>
    <row r="226" spans="1:8">
      <c r="A226" s="2"/>
      <c r="B226" s="2"/>
      <c r="C226" s="2"/>
      <c r="D226" s="2"/>
      <c r="E226" s="47"/>
      <c r="F226" s="2"/>
      <c r="G226" s="2"/>
      <c r="H226" s="2"/>
    </row>
    <row r="227" spans="1:8">
      <c r="A227" s="2"/>
      <c r="B227" s="2"/>
      <c r="C227" s="2"/>
      <c r="D227" s="2"/>
      <c r="E227" s="47"/>
      <c r="F227" s="2"/>
      <c r="G227" s="2"/>
      <c r="H227" s="2"/>
    </row>
    <row r="228" spans="1:8">
      <c r="A228" s="2"/>
      <c r="B228" s="2"/>
      <c r="C228" s="2"/>
      <c r="D228" s="2"/>
      <c r="E228" s="47"/>
      <c r="F228" s="2"/>
      <c r="G228" s="2"/>
      <c r="H228" s="2"/>
    </row>
    <row r="229" spans="1:8">
      <c r="A229" s="2"/>
      <c r="B229" s="2"/>
      <c r="C229" s="2"/>
      <c r="D229" s="2"/>
      <c r="E229" s="47"/>
      <c r="F229" s="2"/>
      <c r="G229" s="2"/>
      <c r="H229" s="2"/>
    </row>
    <row r="230" spans="1:8">
      <c r="A230" s="2"/>
      <c r="B230" s="2"/>
      <c r="C230" s="2"/>
      <c r="D230" s="2"/>
      <c r="E230" s="47"/>
      <c r="F230" s="2"/>
      <c r="G230" s="2"/>
      <c r="H230" s="2"/>
    </row>
    <row r="231" spans="1:8">
      <c r="A231" s="2"/>
      <c r="B231" s="2"/>
      <c r="C231" s="2"/>
      <c r="D231" s="2"/>
      <c r="E231" s="47"/>
      <c r="F231" s="2"/>
      <c r="G231" s="2"/>
      <c r="H231" s="2"/>
    </row>
    <row r="232" spans="1:8">
      <c r="A232" s="2"/>
      <c r="B232" s="2"/>
      <c r="C232" s="2"/>
      <c r="D232" s="2"/>
      <c r="E232" s="47"/>
      <c r="F232" s="2"/>
      <c r="G232" s="2"/>
      <c r="H232" s="2"/>
    </row>
    <row r="233" spans="1:8">
      <c r="A233" s="2"/>
      <c r="B233" s="2"/>
      <c r="C233" s="2"/>
      <c r="D233" s="2"/>
      <c r="E233" s="47"/>
      <c r="F233" s="2"/>
      <c r="G233" s="2"/>
      <c r="H233" s="2"/>
    </row>
    <row r="234" spans="1:8">
      <c r="A234" s="2"/>
      <c r="B234" s="2"/>
      <c r="C234" s="2"/>
      <c r="D234" s="2"/>
      <c r="E234" s="47"/>
      <c r="F234" s="2"/>
      <c r="G234" s="2"/>
      <c r="H234" s="2"/>
    </row>
    <row r="235" spans="1:8">
      <c r="A235" s="2"/>
      <c r="B235" s="2"/>
      <c r="C235" s="2"/>
      <c r="D235" s="2"/>
      <c r="E235" s="47"/>
      <c r="F235" s="2"/>
      <c r="G235" s="2"/>
      <c r="H235" s="2"/>
    </row>
    <row r="236" spans="1:8">
      <c r="A236" s="2"/>
      <c r="B236" s="2"/>
      <c r="C236" s="2"/>
      <c r="D236" s="2"/>
      <c r="E236" s="47"/>
      <c r="F236" s="2"/>
      <c r="G236" s="2"/>
      <c r="H236" s="2"/>
    </row>
    <row r="237" spans="1:8">
      <c r="A237" s="2"/>
      <c r="B237" s="2"/>
      <c r="C237" s="2"/>
      <c r="D237" s="2"/>
      <c r="E237" s="47"/>
      <c r="F237" s="2"/>
      <c r="G237" s="2"/>
      <c r="H237" s="2"/>
    </row>
    <row r="238" spans="1:8">
      <c r="A238" s="2"/>
      <c r="B238" s="2"/>
      <c r="C238" s="2"/>
      <c r="D238" s="2"/>
      <c r="E238" s="47"/>
      <c r="F238" s="2"/>
      <c r="G238" s="2"/>
      <c r="H238" s="2"/>
    </row>
    <row r="239" spans="1:8">
      <c r="A239" s="2"/>
      <c r="B239" s="2"/>
      <c r="C239" s="2"/>
      <c r="D239" s="2"/>
      <c r="E239" s="47"/>
      <c r="F239" s="2"/>
      <c r="G239" s="2"/>
      <c r="H239" s="2"/>
    </row>
    <row r="240" spans="1:8">
      <c r="A240" s="2"/>
      <c r="B240" s="2"/>
      <c r="C240" s="2"/>
      <c r="D240" s="2"/>
      <c r="E240" s="47"/>
      <c r="F240" s="2"/>
      <c r="G240" s="2"/>
      <c r="H240" s="2"/>
    </row>
    <row r="241" spans="1:8">
      <c r="A241" s="2"/>
      <c r="B241" s="2"/>
      <c r="C241" s="2"/>
      <c r="D241" s="2"/>
      <c r="E241" s="47"/>
      <c r="F241" s="2"/>
      <c r="G241" s="2"/>
      <c r="H241" s="2"/>
    </row>
    <row r="242" spans="1:8">
      <c r="A242" s="2"/>
      <c r="B242" s="2"/>
      <c r="C242" s="2"/>
      <c r="D242" s="2"/>
      <c r="E242" s="47"/>
      <c r="F242" s="2"/>
      <c r="G242" s="2"/>
      <c r="H242" s="2"/>
    </row>
    <row r="243" spans="1:8">
      <c r="A243" s="2"/>
      <c r="B243" s="2"/>
      <c r="C243" s="2"/>
      <c r="D243" s="2"/>
      <c r="E243" s="47"/>
      <c r="F243" s="2"/>
      <c r="G243" s="2"/>
      <c r="H243" s="2"/>
    </row>
    <row r="244" spans="1:8">
      <c r="A244" s="2"/>
      <c r="B244" s="2"/>
      <c r="C244" s="2"/>
      <c r="D244" s="2"/>
      <c r="E244" s="47"/>
      <c r="F244" s="2"/>
      <c r="G244" s="2"/>
      <c r="H244" s="2"/>
    </row>
    <row r="245" spans="1:8">
      <c r="A245" s="2"/>
      <c r="B245" s="2"/>
      <c r="C245" s="2"/>
      <c r="D245" s="2"/>
      <c r="E245" s="47"/>
      <c r="F245" s="2"/>
      <c r="G245" s="2"/>
      <c r="H245" s="2"/>
    </row>
    <row r="246" spans="1:8">
      <c r="A246" s="2"/>
      <c r="B246" s="2"/>
      <c r="C246" s="2"/>
      <c r="D246" s="2"/>
      <c r="E246" s="47"/>
      <c r="F246" s="2"/>
      <c r="G246" s="2"/>
      <c r="H246" s="2"/>
    </row>
    <row r="247" spans="1:8">
      <c r="A247" s="2"/>
      <c r="B247" s="2"/>
      <c r="C247" s="2"/>
      <c r="D247" s="2"/>
      <c r="E247" s="47"/>
      <c r="F247" s="2"/>
      <c r="G247" s="2"/>
      <c r="H247" s="2"/>
    </row>
    <row r="248" spans="1:8">
      <c r="A248" s="2"/>
      <c r="B248" s="2"/>
      <c r="C248" s="2"/>
      <c r="D248" s="2"/>
      <c r="E248" s="47"/>
      <c r="F248" s="2"/>
      <c r="G248" s="2"/>
      <c r="H248" s="2"/>
    </row>
    <row r="249" spans="1:8">
      <c r="A249" s="2"/>
      <c r="B249" s="2"/>
      <c r="C249" s="2"/>
      <c r="D249" s="2"/>
      <c r="E249" s="47"/>
      <c r="F249" s="2"/>
      <c r="G249" s="2"/>
      <c r="H249" s="2"/>
    </row>
    <row r="250" spans="1:8">
      <c r="A250" s="2"/>
      <c r="B250" s="2"/>
      <c r="C250" s="2"/>
      <c r="D250" s="2"/>
      <c r="E250" s="47"/>
      <c r="F250" s="2"/>
      <c r="G250" s="2"/>
      <c r="H250" s="2"/>
    </row>
    <row r="251" spans="1:8">
      <c r="A251" s="2"/>
      <c r="B251" s="2"/>
      <c r="C251" s="2"/>
      <c r="D251" s="2"/>
      <c r="E251" s="47"/>
      <c r="F251" s="2"/>
      <c r="G251" s="2"/>
      <c r="H251" s="2"/>
    </row>
    <row r="252" spans="1:8">
      <c r="A252" s="2"/>
      <c r="B252" s="2"/>
      <c r="C252" s="2"/>
      <c r="D252" s="2"/>
      <c r="E252" s="47"/>
      <c r="F252" s="2"/>
      <c r="G252" s="2"/>
      <c r="H252" s="2"/>
    </row>
    <row r="253" spans="1:8">
      <c r="A253" s="2"/>
      <c r="B253" s="2"/>
      <c r="C253" s="2"/>
      <c r="D253" s="2"/>
      <c r="E253" s="47"/>
      <c r="F253" s="2"/>
      <c r="G253" s="2"/>
      <c r="H253" s="2"/>
    </row>
    <row r="254" spans="1:8">
      <c r="A254" s="2"/>
      <c r="B254" s="2"/>
      <c r="C254" s="2"/>
      <c r="D254" s="2"/>
      <c r="E254" s="47"/>
      <c r="F254" s="2"/>
      <c r="G254" s="2"/>
      <c r="H254" s="2"/>
    </row>
    <row r="255" spans="1:8">
      <c r="A255" s="2"/>
      <c r="B255" s="2"/>
      <c r="C255" s="2"/>
      <c r="D255" s="2"/>
      <c r="E255" s="47"/>
      <c r="F255" s="2"/>
      <c r="G255" s="2"/>
      <c r="H255" s="2"/>
    </row>
    <row r="256" spans="1:8">
      <c r="A256" s="2"/>
      <c r="B256" s="2"/>
      <c r="C256" s="2"/>
      <c r="D256" s="2"/>
      <c r="E256" s="47"/>
      <c r="F256" s="2"/>
      <c r="G256" s="2"/>
      <c r="H256" s="2"/>
    </row>
    <row r="257" spans="1:8">
      <c r="A257" s="2"/>
      <c r="B257" s="2"/>
      <c r="C257" s="2"/>
      <c r="D257" s="2"/>
      <c r="E257" s="47"/>
      <c r="F257" s="2"/>
      <c r="G257" s="2"/>
      <c r="H257" s="2"/>
    </row>
    <row r="258" spans="1:8">
      <c r="A258" s="2"/>
      <c r="B258" s="2"/>
      <c r="C258" s="2"/>
      <c r="D258" s="2"/>
      <c r="E258" s="47"/>
      <c r="F258" s="2"/>
      <c r="G258" s="2"/>
      <c r="H258" s="2"/>
    </row>
    <row r="259" spans="1:8">
      <c r="A259" s="2"/>
      <c r="B259" s="2"/>
      <c r="C259" s="2"/>
      <c r="D259" s="2"/>
      <c r="E259" s="47"/>
      <c r="F259" s="2"/>
      <c r="G259" s="2"/>
      <c r="H259" s="2"/>
    </row>
    <row r="260" spans="1:8">
      <c r="A260" s="2"/>
      <c r="B260" s="2"/>
      <c r="C260" s="2"/>
      <c r="D260" s="2"/>
      <c r="E260" s="47"/>
      <c r="F260" s="2"/>
      <c r="G260" s="2"/>
      <c r="H260" s="2"/>
    </row>
    <row r="261" spans="1:8">
      <c r="A261" s="2"/>
      <c r="B261" s="2"/>
      <c r="C261" s="2"/>
      <c r="D261" s="2"/>
      <c r="E261" s="47"/>
      <c r="F261" s="2"/>
      <c r="G261" s="2"/>
      <c r="H261" s="2"/>
    </row>
    <row r="262" spans="1:8">
      <c r="A262" s="2"/>
      <c r="B262" s="2"/>
      <c r="C262" s="2"/>
      <c r="D262" s="2"/>
      <c r="E262" s="47"/>
      <c r="F262" s="2"/>
      <c r="G262" s="2"/>
      <c r="H262" s="2"/>
    </row>
    <row r="263" spans="1:8">
      <c r="A263" s="2"/>
      <c r="B263" s="2"/>
      <c r="C263" s="2"/>
      <c r="D263" s="2"/>
      <c r="E263" s="47"/>
      <c r="F263" s="2"/>
      <c r="G263" s="2"/>
      <c r="H263" s="2"/>
    </row>
    <row r="264" spans="1:8">
      <c r="A264" s="2"/>
      <c r="B264" s="2"/>
      <c r="C264" s="2"/>
      <c r="D264" s="2"/>
      <c r="E264" s="47"/>
      <c r="F264" s="2"/>
      <c r="G264" s="2"/>
      <c r="H264" s="2"/>
    </row>
    <row r="265" spans="1:8">
      <c r="A265" s="2"/>
      <c r="B265" s="2"/>
      <c r="C265" s="2"/>
      <c r="D265" s="2"/>
      <c r="E265" s="47"/>
      <c r="F265" s="2"/>
      <c r="G265" s="2"/>
      <c r="H265" s="2"/>
    </row>
    <row r="266" spans="1:8">
      <c r="A266" s="2"/>
      <c r="B266" s="2"/>
      <c r="C266" s="2"/>
      <c r="D266" s="2"/>
      <c r="E266" s="47"/>
      <c r="F266" s="2"/>
      <c r="G266" s="2"/>
      <c r="H266" s="2"/>
    </row>
    <row r="267" spans="1:8">
      <c r="A267" s="2"/>
      <c r="B267" s="2"/>
      <c r="C267" s="2"/>
      <c r="D267" s="2"/>
      <c r="E267" s="47"/>
      <c r="F267" s="2"/>
      <c r="G267" s="2"/>
      <c r="H267" s="2"/>
    </row>
    <row r="268" spans="1:8">
      <c r="A268" s="2"/>
      <c r="B268" s="2"/>
      <c r="C268" s="2"/>
      <c r="D268" s="2"/>
      <c r="E268" s="47"/>
      <c r="F268" s="2"/>
      <c r="G268" s="2"/>
      <c r="H268" s="2"/>
    </row>
    <row r="269" spans="1:8">
      <c r="A269" s="2"/>
      <c r="B269" s="2"/>
      <c r="C269" s="2"/>
      <c r="D269" s="2"/>
      <c r="E269" s="47"/>
      <c r="F269" s="2"/>
      <c r="G269" s="2"/>
      <c r="H269" s="2"/>
    </row>
    <row r="270" spans="1:8">
      <c r="A270" s="2"/>
      <c r="B270" s="2"/>
      <c r="C270" s="2"/>
      <c r="D270" s="2"/>
      <c r="E270" s="47"/>
      <c r="F270" s="2"/>
      <c r="G270" s="2"/>
      <c r="H270" s="2"/>
    </row>
    <row r="271" spans="1:8">
      <c r="A271" s="2"/>
      <c r="B271" s="2"/>
      <c r="C271" s="2"/>
      <c r="D271" s="2"/>
      <c r="E271" s="47"/>
      <c r="F271" s="2"/>
      <c r="G271" s="2"/>
      <c r="H271" s="2"/>
    </row>
    <row r="272" spans="1:8">
      <c r="A272" s="2"/>
      <c r="B272" s="2"/>
      <c r="C272" s="2"/>
      <c r="D272" s="2"/>
      <c r="E272" s="47"/>
      <c r="F272" s="2"/>
      <c r="G272" s="2"/>
      <c r="H272" s="2"/>
    </row>
    <row r="273" spans="1:8">
      <c r="A273" s="2"/>
      <c r="B273" s="2"/>
      <c r="C273" s="2"/>
      <c r="D273" s="2"/>
      <c r="E273" s="47"/>
      <c r="F273" s="2"/>
      <c r="G273" s="2"/>
      <c r="H273" s="2"/>
    </row>
    <row r="274" spans="1:8">
      <c r="A274" s="2"/>
      <c r="B274" s="2"/>
      <c r="C274" s="2"/>
      <c r="D274" s="2"/>
      <c r="E274" s="47"/>
      <c r="F274" s="2"/>
      <c r="G274" s="2"/>
      <c r="H274" s="2"/>
    </row>
    <row r="275" spans="1:8">
      <c r="A275" s="2"/>
      <c r="B275" s="2"/>
      <c r="C275" s="2"/>
      <c r="D275" s="2"/>
      <c r="E275" s="47"/>
      <c r="F275" s="2"/>
      <c r="G275" s="2"/>
      <c r="H275" s="2"/>
    </row>
    <row r="276" spans="1:8">
      <c r="A276" s="2"/>
      <c r="B276" s="2"/>
      <c r="C276" s="2"/>
      <c r="D276" s="2"/>
      <c r="E276" s="47"/>
      <c r="F276" s="2"/>
      <c r="G276" s="2"/>
      <c r="H276" s="2"/>
    </row>
    <row r="277" spans="1:8">
      <c r="A277" s="2"/>
      <c r="B277" s="2"/>
      <c r="C277" s="2"/>
      <c r="D277" s="2"/>
      <c r="E277" s="47"/>
      <c r="F277" s="2"/>
      <c r="G277" s="2"/>
      <c r="H277" s="2"/>
    </row>
    <row r="278" spans="1:8">
      <c r="A278" s="2"/>
      <c r="B278" s="2"/>
      <c r="C278" s="2"/>
      <c r="D278" s="2"/>
      <c r="E278" s="47"/>
      <c r="F278" s="2"/>
      <c r="G278" s="2"/>
      <c r="H278" s="2"/>
    </row>
    <row r="279" spans="1:8">
      <c r="A279" s="2"/>
      <c r="B279" s="2"/>
      <c r="C279" s="2"/>
      <c r="D279" s="2"/>
      <c r="E279" s="47"/>
      <c r="F279" s="2"/>
      <c r="G279" s="2"/>
      <c r="H279" s="2"/>
    </row>
    <row r="280" spans="1:8">
      <c r="A280" s="2"/>
      <c r="B280" s="2"/>
      <c r="C280" s="2"/>
      <c r="D280" s="2"/>
      <c r="E280" s="47"/>
      <c r="F280" s="2"/>
      <c r="G280" s="2"/>
      <c r="H280" s="2"/>
    </row>
    <row r="281" spans="1:8">
      <c r="A281" s="2"/>
      <c r="B281" s="2"/>
      <c r="C281" s="2"/>
      <c r="D281" s="2"/>
      <c r="E281" s="47"/>
      <c r="F281" s="2"/>
      <c r="G281" s="2"/>
      <c r="H281" s="2"/>
    </row>
    <row r="282" spans="1:8">
      <c r="A282" s="2"/>
      <c r="B282" s="2"/>
      <c r="C282" s="2"/>
      <c r="D282" s="2"/>
      <c r="E282" s="47"/>
      <c r="F282" s="2"/>
      <c r="G282" s="2"/>
      <c r="H282" s="2"/>
    </row>
    <row r="283" spans="1:8">
      <c r="A283" s="2"/>
      <c r="B283" s="2"/>
      <c r="C283" s="2"/>
      <c r="D283" s="2"/>
      <c r="E283" s="47"/>
      <c r="F283" s="2"/>
      <c r="G283" s="2"/>
      <c r="H283" s="2"/>
    </row>
    <row r="284" spans="1:8">
      <c r="A284" s="2"/>
      <c r="B284" s="2"/>
      <c r="C284" s="2"/>
      <c r="D284" s="2"/>
      <c r="E284" s="47"/>
      <c r="F284" s="2"/>
      <c r="G284" s="2"/>
      <c r="H284" s="2"/>
    </row>
    <row r="285" spans="1:8">
      <c r="A285" s="2"/>
      <c r="B285" s="2"/>
      <c r="C285" s="2"/>
      <c r="D285" s="2"/>
      <c r="E285" s="47"/>
      <c r="F285" s="2"/>
      <c r="G285" s="2"/>
      <c r="H285" s="2"/>
    </row>
    <row r="286" spans="1:8">
      <c r="A286" s="2"/>
      <c r="B286" s="2"/>
      <c r="C286" s="2"/>
      <c r="D286" s="2"/>
      <c r="E286" s="47"/>
      <c r="F286" s="2"/>
      <c r="G286" s="2"/>
      <c r="H286" s="2"/>
    </row>
    <row r="287" spans="1:8">
      <c r="A287" s="2"/>
      <c r="B287" s="2"/>
      <c r="C287" s="2"/>
      <c r="D287" s="2"/>
      <c r="E287" s="47"/>
      <c r="F287" s="2"/>
      <c r="G287" s="2"/>
      <c r="H287" s="2"/>
    </row>
    <row r="288" spans="1:8">
      <c r="A288" s="2"/>
      <c r="B288" s="2"/>
      <c r="C288" s="2"/>
      <c r="D288" s="2"/>
      <c r="E288" s="47"/>
      <c r="F288" s="2"/>
      <c r="G288" s="2"/>
      <c r="H288" s="2"/>
    </row>
    <row r="289" spans="1:8">
      <c r="A289" s="2"/>
      <c r="B289" s="2"/>
      <c r="C289" s="2"/>
      <c r="D289" s="2"/>
      <c r="E289" s="47"/>
      <c r="F289" s="2"/>
      <c r="G289" s="2"/>
      <c r="H289" s="2"/>
    </row>
    <row r="290" spans="1:8">
      <c r="A290" s="2"/>
      <c r="B290" s="2"/>
      <c r="C290" s="2"/>
      <c r="D290" s="2"/>
      <c r="E290" s="47"/>
      <c r="F290" s="2"/>
      <c r="G290" s="2"/>
      <c r="H290" s="2"/>
    </row>
    <row r="291" spans="1:8">
      <c r="A291" s="2"/>
      <c r="B291" s="2"/>
      <c r="C291" s="2"/>
      <c r="D291" s="2"/>
      <c r="E291" s="47"/>
      <c r="F291" s="2"/>
      <c r="G291" s="2"/>
      <c r="H291" s="2"/>
    </row>
    <row r="292" spans="1:8">
      <c r="A292" s="2"/>
      <c r="B292" s="2"/>
      <c r="C292" s="2"/>
      <c r="D292" s="2"/>
      <c r="E292" s="47"/>
      <c r="F292" s="2"/>
      <c r="G292" s="2"/>
      <c r="H292" s="2"/>
    </row>
    <row r="293" spans="1:8">
      <c r="A293" s="2"/>
      <c r="B293" s="2"/>
      <c r="C293" s="2"/>
      <c r="D293" s="2"/>
      <c r="E293" s="47"/>
      <c r="F293" s="2"/>
      <c r="G293" s="2"/>
      <c r="H293" s="2"/>
    </row>
    <row r="294" spans="1:8">
      <c r="A294" s="2"/>
      <c r="B294" s="2"/>
      <c r="C294" s="2"/>
      <c r="D294" s="2"/>
      <c r="E294" s="47"/>
      <c r="F294" s="2"/>
      <c r="G294" s="2"/>
      <c r="H294" s="2"/>
    </row>
    <row r="295" spans="1:8">
      <c r="A295" s="2"/>
      <c r="B295" s="2"/>
      <c r="C295" s="2"/>
      <c r="D295" s="2"/>
      <c r="E295" s="47"/>
      <c r="F295" s="2"/>
      <c r="G295" s="2"/>
      <c r="H295" s="2"/>
    </row>
    <row r="296" spans="1:8">
      <c r="A296" s="2"/>
      <c r="B296" s="2"/>
      <c r="C296" s="2"/>
      <c r="D296" s="2"/>
      <c r="E296" s="47"/>
      <c r="F296" s="2"/>
      <c r="G296" s="2"/>
      <c r="H296" s="2"/>
    </row>
    <row r="297" spans="1:8">
      <c r="A297" s="2"/>
      <c r="B297" s="2"/>
      <c r="C297" s="2"/>
      <c r="D297" s="2"/>
      <c r="E297" s="47"/>
      <c r="F297" s="2"/>
      <c r="G297" s="2"/>
      <c r="H297" s="2"/>
    </row>
    <row r="298" spans="1:8">
      <c r="A298" s="2"/>
      <c r="B298" s="2"/>
      <c r="C298" s="2"/>
      <c r="D298" s="2"/>
      <c r="E298" s="47"/>
      <c r="F298" s="2"/>
      <c r="G298" s="2"/>
      <c r="H298" s="2"/>
    </row>
    <row r="299" spans="1:8">
      <c r="A299" s="2"/>
      <c r="B299" s="2"/>
      <c r="C299" s="2"/>
      <c r="D299" s="2"/>
      <c r="E299" s="47"/>
      <c r="F299" s="2"/>
      <c r="G299" s="2"/>
      <c r="H299" s="2"/>
    </row>
    <row r="300" spans="1:8">
      <c r="A300" s="2"/>
      <c r="B300" s="2"/>
      <c r="C300" s="2"/>
      <c r="D300" s="2"/>
      <c r="E300" s="47"/>
      <c r="F300" s="2"/>
      <c r="G300" s="2"/>
      <c r="H300" s="2"/>
    </row>
    <row r="301" spans="1:8">
      <c r="A301" s="2"/>
      <c r="B301" s="2"/>
      <c r="C301" s="2"/>
      <c r="D301" s="2"/>
      <c r="E301" s="47"/>
      <c r="F301" s="2"/>
      <c r="G301" s="2"/>
      <c r="H301" s="2"/>
    </row>
    <row r="302" spans="1:8">
      <c r="A302" s="2"/>
      <c r="B302" s="2"/>
      <c r="C302" s="2"/>
      <c r="D302" s="2"/>
      <c r="E302" s="47"/>
      <c r="F302" s="2"/>
      <c r="G302" s="2"/>
      <c r="H302" s="2"/>
    </row>
    <row r="303" spans="1:8">
      <c r="A303" s="2"/>
      <c r="B303" s="2"/>
      <c r="C303" s="2"/>
      <c r="D303" s="2"/>
      <c r="E303" s="47"/>
      <c r="F303" s="2"/>
      <c r="G303" s="2"/>
      <c r="H303" s="2"/>
    </row>
    <row r="304" spans="1:8">
      <c r="A304" s="2"/>
      <c r="B304" s="2"/>
      <c r="C304" s="2"/>
      <c r="D304" s="2"/>
      <c r="E304" s="47"/>
      <c r="F304" s="2"/>
      <c r="G304" s="2"/>
      <c r="H304" s="2"/>
    </row>
    <row r="305" spans="1:8">
      <c r="A305" s="2"/>
      <c r="B305" s="2"/>
      <c r="C305" s="2"/>
      <c r="D305" s="2"/>
      <c r="E305" s="47"/>
      <c r="F305" s="2"/>
      <c r="G305" s="2"/>
      <c r="H305" s="2"/>
    </row>
    <row r="306" spans="1:8">
      <c r="A306" s="2"/>
      <c r="B306" s="2"/>
      <c r="C306" s="2"/>
      <c r="D306" s="2"/>
      <c r="E306" s="47"/>
      <c r="F306" s="2"/>
      <c r="G306" s="2"/>
      <c r="H306" s="2"/>
    </row>
    <row r="307" spans="1:8">
      <c r="A307" s="2"/>
      <c r="B307" s="2"/>
      <c r="C307" s="2"/>
      <c r="D307" s="2"/>
      <c r="E307" s="47"/>
      <c r="F307" s="2"/>
      <c r="G307" s="2"/>
      <c r="H307" s="2"/>
    </row>
    <row r="308" spans="1:8">
      <c r="A308" s="2"/>
      <c r="B308" s="2"/>
      <c r="C308" s="2"/>
      <c r="D308" s="2"/>
      <c r="E308" s="47"/>
      <c r="F308" s="2"/>
      <c r="G308" s="2"/>
      <c r="H308" s="2"/>
    </row>
    <row r="309" spans="1:8">
      <c r="A309" s="2"/>
      <c r="B309" s="2"/>
      <c r="C309" s="2"/>
      <c r="D309" s="2"/>
      <c r="E309" s="47"/>
      <c r="F309" s="2"/>
      <c r="G309" s="2"/>
      <c r="H309" s="2"/>
    </row>
    <row r="310" spans="1:8">
      <c r="A310" s="2"/>
      <c r="B310" s="2"/>
      <c r="C310" s="2"/>
      <c r="D310" s="2"/>
      <c r="E310" s="47"/>
      <c r="F310" s="2"/>
      <c r="G310" s="2"/>
      <c r="H310" s="2"/>
    </row>
    <row r="311" spans="1:8">
      <c r="A311" s="2"/>
      <c r="B311" s="2"/>
      <c r="C311" s="2"/>
      <c r="D311" s="2"/>
      <c r="E311" s="47"/>
      <c r="F311" s="2"/>
      <c r="G311" s="2"/>
      <c r="H311" s="2"/>
    </row>
    <row r="312" spans="1:8">
      <c r="A312" s="2"/>
      <c r="B312" s="2"/>
      <c r="C312" s="2"/>
      <c r="D312" s="2"/>
      <c r="E312" s="47"/>
      <c r="F312" s="2"/>
      <c r="G312" s="2"/>
      <c r="H312" s="2"/>
    </row>
    <row r="313" spans="1:8">
      <c r="A313" s="2"/>
      <c r="B313" s="2"/>
      <c r="C313" s="2"/>
      <c r="D313" s="2"/>
      <c r="E313" s="47"/>
      <c r="F313" s="2"/>
      <c r="G313" s="2"/>
      <c r="H313" s="2"/>
    </row>
    <row r="314" spans="1:8">
      <c r="A314" s="2"/>
      <c r="B314" s="2"/>
      <c r="C314" s="2"/>
      <c r="D314" s="2"/>
      <c r="E314" s="47"/>
      <c r="F314" s="2"/>
      <c r="G314" s="2"/>
      <c r="H314" s="2"/>
    </row>
    <row r="315" spans="1:8">
      <c r="A315" s="2"/>
      <c r="B315" s="2"/>
      <c r="C315" s="2"/>
      <c r="D315" s="2"/>
      <c r="E315" s="47"/>
      <c r="F315" s="2"/>
      <c r="G315" s="2"/>
      <c r="H315" s="2"/>
    </row>
    <row r="316" spans="1:8">
      <c r="A316" s="2"/>
      <c r="B316" s="2"/>
      <c r="C316" s="2"/>
      <c r="D316" s="2"/>
      <c r="E316" s="47"/>
      <c r="F316" s="2"/>
      <c r="G316" s="2"/>
      <c r="H316" s="2"/>
    </row>
    <row r="317" spans="1:8">
      <c r="A317" s="2"/>
      <c r="B317" s="2"/>
      <c r="C317" s="2"/>
      <c r="D317" s="2"/>
      <c r="E317" s="47"/>
      <c r="F317" s="2"/>
      <c r="G317" s="2"/>
      <c r="H317" s="2"/>
    </row>
    <row r="318" spans="1:8">
      <c r="A318" s="2"/>
      <c r="B318" s="2"/>
      <c r="C318" s="2"/>
      <c r="D318" s="2"/>
      <c r="E318" s="47"/>
      <c r="F318" s="2"/>
      <c r="G318" s="2"/>
      <c r="H318" s="2"/>
    </row>
    <row r="319" spans="1:8">
      <c r="A319" s="2"/>
      <c r="B319" s="2"/>
      <c r="C319" s="2"/>
      <c r="D319" s="2"/>
      <c r="E319" s="47"/>
      <c r="F319" s="2"/>
      <c r="G319" s="2"/>
      <c r="H319" s="2"/>
    </row>
    <row r="320" spans="1:8">
      <c r="A320" s="2"/>
      <c r="B320" s="2"/>
      <c r="C320" s="2"/>
      <c r="D320" s="2"/>
      <c r="E320" s="47"/>
      <c r="F320" s="2"/>
      <c r="G320" s="2"/>
      <c r="H320" s="2"/>
    </row>
    <row r="321" spans="1:8">
      <c r="A321" s="2"/>
      <c r="B321" s="2"/>
      <c r="C321" s="2"/>
      <c r="D321" s="2"/>
      <c r="E321" s="47"/>
      <c r="F321" s="2"/>
      <c r="G321" s="2"/>
      <c r="H321" s="2"/>
    </row>
    <row r="322" spans="1:8">
      <c r="A322" s="2"/>
      <c r="B322" s="2"/>
      <c r="C322" s="2"/>
      <c r="D322" s="2"/>
      <c r="E322" s="47"/>
      <c r="F322" s="2"/>
      <c r="G322" s="2"/>
      <c r="H322" s="2"/>
    </row>
    <row r="323" spans="1:8">
      <c r="A323" s="2"/>
      <c r="B323" s="2"/>
      <c r="C323" s="2"/>
      <c r="D323" s="2"/>
      <c r="E323" s="47"/>
      <c r="F323" s="2"/>
      <c r="G323" s="2"/>
      <c r="H323" s="2"/>
    </row>
    <row r="324" spans="1:8">
      <c r="A324" s="2"/>
      <c r="B324" s="2"/>
      <c r="C324" s="2"/>
      <c r="D324" s="2"/>
      <c r="E324" s="47"/>
      <c r="F324" s="2"/>
      <c r="G324" s="2"/>
      <c r="H324" s="2"/>
    </row>
    <row r="325" spans="1:8">
      <c r="A325" s="2"/>
      <c r="B325" s="2"/>
      <c r="C325" s="2"/>
      <c r="D325" s="2"/>
      <c r="E325" s="47"/>
      <c r="F325" s="2"/>
      <c r="G325" s="2"/>
      <c r="H325" s="2"/>
    </row>
    <row r="326" spans="1:8">
      <c r="A326" s="2"/>
      <c r="B326" s="2"/>
      <c r="C326" s="2"/>
      <c r="D326" s="2"/>
      <c r="E326" s="47"/>
      <c r="F326" s="2"/>
      <c r="G326" s="2"/>
      <c r="H326" s="2"/>
    </row>
    <row r="327" spans="1:8">
      <c r="A327" s="2"/>
      <c r="B327" s="2"/>
      <c r="C327" s="2"/>
      <c r="D327" s="2"/>
      <c r="E327" s="47"/>
      <c r="F327" s="2"/>
      <c r="G327" s="2"/>
      <c r="H327" s="2"/>
    </row>
    <row r="328" spans="1:8">
      <c r="A328" s="2"/>
      <c r="B328" s="2"/>
      <c r="C328" s="2"/>
      <c r="D328" s="2"/>
      <c r="E328" s="47"/>
      <c r="F328" s="2"/>
      <c r="G328" s="2"/>
      <c r="H328" s="2"/>
    </row>
    <row r="329" spans="1:8">
      <c r="A329" s="2"/>
      <c r="B329" s="2"/>
      <c r="C329" s="2"/>
      <c r="D329" s="2"/>
      <c r="E329" s="47"/>
      <c r="F329" s="2"/>
      <c r="G329" s="2"/>
      <c r="H329" s="2"/>
    </row>
    <row r="330" spans="1:8">
      <c r="A330" s="2"/>
      <c r="B330" s="2"/>
      <c r="C330" s="2"/>
      <c r="D330" s="2"/>
      <c r="E330" s="47"/>
      <c r="F330" s="2"/>
      <c r="G330" s="2"/>
      <c r="H330" s="2"/>
    </row>
    <row r="331" spans="1:8">
      <c r="A331" s="2"/>
      <c r="B331" s="2"/>
      <c r="C331" s="2"/>
      <c r="D331" s="2"/>
      <c r="E331" s="47"/>
      <c r="F331" s="2"/>
      <c r="G331" s="2"/>
      <c r="H331" s="2"/>
    </row>
    <row r="332" spans="1:8">
      <c r="A332" s="2"/>
      <c r="B332" s="2"/>
      <c r="C332" s="2"/>
      <c r="D332" s="2"/>
      <c r="E332" s="47"/>
      <c r="F332" s="2"/>
      <c r="G332" s="2"/>
      <c r="H332" s="2"/>
    </row>
    <row r="333" spans="1:8">
      <c r="A333" s="2"/>
      <c r="B333" s="2"/>
      <c r="C333" s="2"/>
      <c r="D333" s="2"/>
      <c r="E333" s="47"/>
      <c r="F333" s="2"/>
      <c r="G333" s="2"/>
      <c r="H333" s="2"/>
    </row>
    <row r="334" spans="1:8">
      <c r="A334" s="2"/>
      <c r="B334" s="2"/>
      <c r="C334" s="2"/>
      <c r="D334" s="2"/>
      <c r="E334" s="47"/>
      <c r="F334" s="2"/>
      <c r="G334" s="2"/>
      <c r="H334" s="2"/>
    </row>
    <row r="335" spans="1:8">
      <c r="A335" s="2"/>
      <c r="B335" s="2"/>
      <c r="C335" s="2"/>
      <c r="D335" s="2"/>
      <c r="E335" s="47"/>
      <c r="F335" s="2"/>
      <c r="G335" s="2"/>
      <c r="H335" s="2"/>
    </row>
    <row r="336" spans="1:8">
      <c r="A336" s="2"/>
      <c r="B336" s="2"/>
      <c r="C336" s="2"/>
      <c r="D336" s="2"/>
      <c r="E336" s="47"/>
      <c r="F336" s="2"/>
      <c r="G336" s="2"/>
      <c r="H336" s="2"/>
    </row>
    <row r="337" spans="1:8">
      <c r="A337" s="2"/>
      <c r="B337" s="2"/>
      <c r="C337" s="2"/>
      <c r="D337" s="2"/>
      <c r="E337" s="47"/>
      <c r="F337" s="2"/>
      <c r="G337" s="2"/>
      <c r="H337" s="2"/>
    </row>
    <row r="338" spans="1:8">
      <c r="A338" s="2"/>
      <c r="B338" s="2"/>
      <c r="C338" s="2"/>
      <c r="D338" s="2"/>
      <c r="E338" s="47"/>
      <c r="F338" s="2"/>
      <c r="G338" s="2"/>
      <c r="H338" s="2"/>
    </row>
    <row r="339" spans="1:8">
      <c r="A339" s="2"/>
      <c r="B339" s="2"/>
      <c r="C339" s="2"/>
      <c r="D339" s="2"/>
      <c r="E339" s="47"/>
      <c r="F339" s="2"/>
      <c r="G339" s="2"/>
      <c r="H339" s="2"/>
    </row>
    <row r="340" spans="1:8">
      <c r="A340" s="2"/>
      <c r="B340" s="2"/>
      <c r="C340" s="2"/>
      <c r="D340" s="2"/>
      <c r="E340" s="47"/>
      <c r="F340" s="2"/>
      <c r="G340" s="2"/>
      <c r="H340" s="2"/>
    </row>
    <row r="341" spans="1:8">
      <c r="A341" s="2"/>
      <c r="B341" s="2"/>
      <c r="C341" s="2"/>
      <c r="D341" s="2"/>
      <c r="E341" s="47"/>
      <c r="F341" s="2"/>
      <c r="G341" s="2"/>
      <c r="H341" s="2"/>
    </row>
    <row r="342" spans="1:8">
      <c r="A342" s="2"/>
      <c r="B342" s="2"/>
      <c r="C342" s="2"/>
      <c r="D342" s="2"/>
      <c r="E342" s="47"/>
      <c r="F342" s="2"/>
      <c r="G342" s="2"/>
      <c r="H342" s="2"/>
    </row>
    <row r="343" spans="1:8">
      <c r="A343" s="2"/>
      <c r="B343" s="2"/>
      <c r="C343" s="2"/>
      <c r="D343" s="2"/>
      <c r="E343" s="47"/>
      <c r="F343" s="2"/>
      <c r="G343" s="2"/>
      <c r="H343" s="2"/>
    </row>
    <row r="344" spans="1:8">
      <c r="A344" s="2"/>
      <c r="B344" s="2"/>
      <c r="C344" s="2"/>
      <c r="D344" s="2"/>
      <c r="E344" s="47"/>
      <c r="F344" s="2"/>
      <c r="G344" s="2"/>
      <c r="H344" s="2"/>
    </row>
    <row r="345" spans="1:8">
      <c r="A345" s="2"/>
      <c r="B345" s="2"/>
      <c r="C345" s="2"/>
      <c r="D345" s="2"/>
      <c r="E345" s="47"/>
      <c r="F345" s="2"/>
      <c r="G345" s="2"/>
      <c r="H345" s="2"/>
    </row>
    <row r="346" spans="1:8">
      <c r="A346" s="2"/>
      <c r="B346" s="2"/>
      <c r="C346" s="2"/>
      <c r="D346" s="2"/>
      <c r="E346" s="47"/>
      <c r="F346" s="2"/>
      <c r="G346" s="2"/>
      <c r="H346" s="2"/>
    </row>
    <row r="347" spans="1:8">
      <c r="A347" s="2"/>
      <c r="B347" s="2"/>
      <c r="C347" s="2"/>
      <c r="D347" s="2"/>
      <c r="E347" s="47"/>
      <c r="F347" s="2"/>
      <c r="G347" s="2"/>
      <c r="H347" s="2"/>
    </row>
    <row r="348" spans="1:8">
      <c r="A348" s="2"/>
      <c r="B348" s="2"/>
      <c r="C348" s="2"/>
      <c r="D348" s="2"/>
      <c r="E348" s="47"/>
      <c r="F348" s="2"/>
      <c r="G348" s="2"/>
      <c r="H348" s="2"/>
    </row>
    <row r="349" spans="1:8">
      <c r="A349" s="2"/>
      <c r="B349" s="2"/>
      <c r="C349" s="2"/>
      <c r="D349" s="2"/>
      <c r="E349" s="47"/>
      <c r="F349" s="2"/>
      <c r="G349" s="2"/>
      <c r="H349" s="2"/>
    </row>
    <row r="350" spans="1:8">
      <c r="A350" s="2"/>
      <c r="B350" s="2"/>
      <c r="C350" s="2"/>
      <c r="D350" s="2"/>
      <c r="E350" s="47"/>
      <c r="F350" s="2"/>
      <c r="G350" s="2"/>
      <c r="H350" s="2"/>
    </row>
    <row r="351" spans="1:8">
      <c r="A351" s="2"/>
      <c r="B351" s="2"/>
      <c r="C351" s="2"/>
      <c r="D351" s="2"/>
      <c r="E351" s="47"/>
      <c r="F351" s="2"/>
      <c r="G351" s="2"/>
      <c r="H351" s="2"/>
    </row>
    <row r="352" spans="1:8">
      <c r="A352" s="2"/>
      <c r="B352" s="2"/>
      <c r="C352" s="2"/>
      <c r="D352" s="2"/>
      <c r="E352" s="47"/>
      <c r="F352" s="2"/>
      <c r="G352" s="2"/>
      <c r="H352" s="2"/>
    </row>
    <row r="353" spans="1:8">
      <c r="A353" s="2"/>
      <c r="B353" s="2"/>
      <c r="C353" s="2"/>
      <c r="D353" s="2"/>
      <c r="E353" s="47"/>
      <c r="F353" s="2"/>
      <c r="G353" s="2"/>
      <c r="H353" s="2"/>
    </row>
    <row r="354" spans="1:8">
      <c r="A354" s="2"/>
      <c r="B354" s="2"/>
      <c r="C354" s="2"/>
      <c r="D354" s="2"/>
      <c r="E354" s="47"/>
      <c r="F354" s="2"/>
      <c r="G354" s="2"/>
      <c r="H354" s="2"/>
    </row>
    <row r="355" spans="1:8">
      <c r="A355" s="2"/>
      <c r="B355" s="2"/>
      <c r="C355" s="2"/>
      <c r="D355" s="2"/>
      <c r="E355" s="47"/>
      <c r="F355" s="2"/>
      <c r="G355" s="2"/>
      <c r="H355" s="2"/>
    </row>
    <row r="356" spans="1:8">
      <c r="A356" s="2"/>
      <c r="B356" s="2"/>
      <c r="C356" s="2"/>
      <c r="D356" s="2"/>
      <c r="E356" s="47"/>
      <c r="F356" s="2"/>
      <c r="G356" s="2"/>
      <c r="H356" s="2"/>
    </row>
    <row r="357" spans="1:8">
      <c r="A357" s="2"/>
      <c r="B357" s="2"/>
      <c r="C357" s="2"/>
      <c r="D357" s="2"/>
      <c r="E357" s="47"/>
      <c r="F357" s="2"/>
      <c r="G357" s="2"/>
      <c r="H357" s="2"/>
    </row>
    <row r="358" spans="1:8">
      <c r="A358" s="2"/>
      <c r="B358" s="2"/>
      <c r="C358" s="2"/>
      <c r="D358" s="2"/>
      <c r="E358" s="47"/>
      <c r="F358" s="2"/>
      <c r="G358" s="2"/>
      <c r="H358" s="2"/>
    </row>
    <row r="359" spans="1:8">
      <c r="A359" s="2"/>
      <c r="B359" s="2"/>
      <c r="C359" s="2"/>
      <c r="D359" s="2"/>
      <c r="E359" s="47"/>
      <c r="F359" s="2"/>
      <c r="G359" s="2"/>
      <c r="H359" s="2"/>
    </row>
    <row r="360" spans="1:8">
      <c r="A360" s="2"/>
      <c r="B360" s="2"/>
      <c r="C360" s="2"/>
      <c r="D360" s="2"/>
      <c r="E360" s="47"/>
      <c r="F360" s="2"/>
      <c r="G360" s="2"/>
      <c r="H360" s="2"/>
    </row>
    <row r="361" spans="1:8">
      <c r="A361" s="2"/>
      <c r="B361" s="2"/>
      <c r="C361" s="2"/>
      <c r="D361" s="2"/>
      <c r="E361" s="47"/>
      <c r="F361" s="2"/>
      <c r="G361" s="2"/>
      <c r="H361" s="2"/>
    </row>
    <row r="362" spans="1:8">
      <c r="A362" s="2"/>
      <c r="B362" s="2"/>
      <c r="C362" s="2"/>
      <c r="D362" s="2"/>
      <c r="E362" s="47"/>
      <c r="F362" s="2"/>
      <c r="G362" s="2"/>
      <c r="H362" s="2"/>
    </row>
    <row r="363" spans="1:8">
      <c r="A363" s="2"/>
      <c r="B363" s="2"/>
      <c r="C363" s="2"/>
      <c r="D363" s="2"/>
      <c r="E363" s="47"/>
      <c r="F363" s="2"/>
      <c r="G363" s="2"/>
      <c r="H363" s="2"/>
    </row>
    <row r="364" spans="1:8">
      <c r="A364" s="2"/>
      <c r="B364" s="2"/>
      <c r="C364" s="2"/>
      <c r="D364" s="2"/>
      <c r="E364" s="47"/>
      <c r="F364" s="2"/>
      <c r="G364" s="2"/>
      <c r="H364" s="2"/>
    </row>
    <row r="365" spans="1:8">
      <c r="A365" s="2"/>
      <c r="B365" s="2"/>
      <c r="C365" s="2"/>
      <c r="D365" s="2"/>
      <c r="E365" s="47"/>
      <c r="F365" s="2"/>
      <c r="G365" s="2"/>
      <c r="H365" s="2"/>
    </row>
    <row r="366" spans="1:8">
      <c r="A366" s="2"/>
      <c r="B366" s="2"/>
      <c r="C366" s="2"/>
      <c r="D366" s="2"/>
      <c r="E366" s="47"/>
      <c r="F366" s="2"/>
      <c r="G366" s="2"/>
      <c r="H366" s="2"/>
    </row>
    <row r="367" spans="1:8">
      <c r="A367" s="2"/>
      <c r="B367" s="2"/>
      <c r="C367" s="2"/>
      <c r="D367" s="2"/>
      <c r="E367" s="47"/>
      <c r="F367" s="2"/>
      <c r="G367" s="2"/>
      <c r="H367" s="2"/>
    </row>
    <row r="368" spans="1:8">
      <c r="A368" s="2"/>
      <c r="B368" s="2"/>
      <c r="C368" s="2"/>
      <c r="D368" s="2"/>
      <c r="E368" s="47"/>
      <c r="F368" s="2"/>
      <c r="G368" s="2"/>
      <c r="H368" s="2"/>
    </row>
    <row r="369" spans="1:8">
      <c r="A369" s="2"/>
      <c r="B369" s="2"/>
      <c r="C369" s="2"/>
      <c r="D369" s="2"/>
      <c r="E369" s="47"/>
      <c r="F369" s="2"/>
      <c r="G369" s="2"/>
      <c r="H369" s="2"/>
    </row>
    <row r="370" spans="1:8">
      <c r="A370" s="2"/>
      <c r="B370" s="2"/>
      <c r="C370" s="2"/>
      <c r="D370" s="2"/>
      <c r="E370" s="47"/>
      <c r="F370" s="2"/>
      <c r="G370" s="2"/>
      <c r="H370" s="2"/>
    </row>
    <row r="371" spans="1:8">
      <c r="A371" s="2"/>
      <c r="B371" s="2"/>
      <c r="C371" s="2"/>
      <c r="D371" s="2"/>
      <c r="E371" s="47"/>
      <c r="F371" s="2"/>
      <c r="G371" s="2"/>
      <c r="H371" s="2"/>
    </row>
    <row r="372" spans="1:8">
      <c r="A372" s="2"/>
      <c r="B372" s="2"/>
      <c r="C372" s="2"/>
      <c r="D372" s="2"/>
      <c r="E372" s="47"/>
      <c r="F372" s="2"/>
      <c r="G372" s="2"/>
      <c r="H372" s="2"/>
    </row>
    <row r="373" spans="1:8">
      <c r="A373" s="2"/>
      <c r="B373" s="2"/>
      <c r="C373" s="2"/>
      <c r="D373" s="2"/>
      <c r="E373" s="47"/>
      <c r="F373" s="2"/>
      <c r="G373" s="2"/>
      <c r="H373" s="2"/>
    </row>
    <row r="374" spans="1:8">
      <c r="A374" s="2"/>
      <c r="B374" s="2"/>
      <c r="C374" s="2"/>
      <c r="D374" s="2"/>
      <c r="E374" s="47"/>
      <c r="F374" s="2"/>
      <c r="G374" s="2"/>
      <c r="H374" s="2"/>
    </row>
    <row r="375" spans="1:8">
      <c r="A375" s="2"/>
      <c r="B375" s="2"/>
      <c r="C375" s="2"/>
      <c r="D375" s="2"/>
      <c r="E375" s="47"/>
      <c r="F375" s="2"/>
      <c r="G375" s="2"/>
      <c r="H375" s="2"/>
    </row>
    <row r="376" spans="1:8">
      <c r="A376" s="2"/>
      <c r="B376" s="2"/>
      <c r="C376" s="2"/>
      <c r="D376" s="2"/>
      <c r="E376" s="47"/>
      <c r="F376" s="2"/>
      <c r="G376" s="2"/>
      <c r="H376" s="2"/>
    </row>
    <row r="377" spans="1:8">
      <c r="A377" s="2"/>
      <c r="B377" s="2"/>
      <c r="C377" s="2"/>
      <c r="D377" s="2"/>
      <c r="E377" s="47"/>
      <c r="F377" s="2"/>
      <c r="G377" s="2"/>
      <c r="H377" s="2"/>
    </row>
    <row r="378" spans="1:8">
      <c r="A378" s="2"/>
      <c r="B378" s="2"/>
      <c r="C378" s="2"/>
      <c r="D378" s="2"/>
      <c r="E378" s="47"/>
      <c r="F378" s="2"/>
      <c r="G378" s="2"/>
      <c r="H378" s="2"/>
    </row>
    <row r="379" spans="1:8">
      <c r="A379" s="2"/>
      <c r="B379" s="2"/>
      <c r="C379" s="2"/>
      <c r="D379" s="2"/>
      <c r="E379" s="47"/>
      <c r="F379" s="2"/>
      <c r="G379" s="2"/>
      <c r="H379" s="2"/>
    </row>
    <row r="380" spans="1:8">
      <c r="A380" s="2"/>
      <c r="B380" s="2"/>
      <c r="C380" s="2"/>
      <c r="D380" s="2"/>
      <c r="E380" s="47"/>
      <c r="F380" s="2"/>
      <c r="G380" s="2"/>
      <c r="H380" s="2"/>
    </row>
    <row r="381" spans="1:8">
      <c r="A381" s="2"/>
      <c r="B381" s="2"/>
      <c r="C381" s="2"/>
      <c r="D381" s="2"/>
      <c r="E381" s="47"/>
      <c r="F381" s="2"/>
      <c r="G381" s="2"/>
      <c r="H381" s="2"/>
    </row>
    <row r="382" spans="1:8">
      <c r="A382" s="2"/>
      <c r="B382" s="2"/>
      <c r="C382" s="2"/>
      <c r="D382" s="2"/>
      <c r="E382" s="47"/>
      <c r="F382" s="2"/>
      <c r="G382" s="2"/>
      <c r="H382" s="2"/>
    </row>
    <row r="383" spans="1:8">
      <c r="A383" s="2"/>
      <c r="B383" s="2"/>
      <c r="C383" s="2"/>
      <c r="D383" s="2"/>
      <c r="E383" s="47"/>
      <c r="F383" s="2"/>
      <c r="G383" s="2"/>
      <c r="H383" s="2"/>
    </row>
    <row r="384" spans="1:8">
      <c r="A384" s="2"/>
      <c r="B384" s="2"/>
      <c r="C384" s="2"/>
      <c r="D384" s="2"/>
      <c r="E384" s="47"/>
      <c r="F384" s="2"/>
      <c r="G384" s="2"/>
      <c r="H384" s="2"/>
    </row>
    <row r="385" spans="1:8">
      <c r="A385" s="2"/>
      <c r="B385" s="2"/>
      <c r="C385" s="2"/>
      <c r="D385" s="2"/>
      <c r="E385" s="47"/>
      <c r="F385" s="2"/>
      <c r="G385" s="2"/>
      <c r="H385" s="2"/>
    </row>
    <row r="386" spans="1:8">
      <c r="A386" s="2"/>
      <c r="B386" s="2"/>
      <c r="C386" s="2"/>
      <c r="D386" s="2"/>
      <c r="E386" s="47"/>
      <c r="F386" s="2"/>
      <c r="G386" s="2"/>
      <c r="H386" s="2"/>
    </row>
    <row r="387" spans="1:8">
      <c r="A387" s="2"/>
      <c r="B387" s="2"/>
      <c r="C387" s="2"/>
      <c r="D387" s="2"/>
      <c r="E387" s="47"/>
      <c r="F387" s="2"/>
      <c r="G387" s="2"/>
      <c r="H387" s="2"/>
    </row>
    <row r="388" spans="1:8">
      <c r="A388" s="2"/>
      <c r="B388" s="2"/>
      <c r="C388" s="2"/>
      <c r="D388" s="2"/>
      <c r="E388" s="47"/>
      <c r="F388" s="2"/>
      <c r="G388" s="2"/>
      <c r="H388" s="2"/>
    </row>
    <row r="389" spans="1:8">
      <c r="A389" s="2"/>
      <c r="B389" s="2"/>
      <c r="C389" s="2"/>
      <c r="D389" s="2"/>
      <c r="E389" s="47"/>
      <c r="F389" s="2"/>
      <c r="G389" s="2"/>
      <c r="H389" s="2"/>
    </row>
    <row r="390" spans="1:8">
      <c r="A390" s="2"/>
      <c r="B390" s="2"/>
      <c r="C390" s="2"/>
      <c r="D390" s="2"/>
      <c r="E390" s="47"/>
      <c r="F390" s="2"/>
      <c r="G390" s="2"/>
      <c r="H390" s="2"/>
    </row>
    <row r="391" spans="1:8">
      <c r="A391" s="2"/>
      <c r="B391" s="2"/>
      <c r="C391" s="2"/>
      <c r="D391" s="2"/>
      <c r="E391" s="47"/>
      <c r="F391" s="2"/>
      <c r="G391" s="2"/>
      <c r="H391" s="2"/>
    </row>
    <row r="392" spans="1:8">
      <c r="A392" s="2"/>
      <c r="B392" s="2"/>
      <c r="C392" s="2"/>
      <c r="D392" s="2"/>
      <c r="E392" s="47"/>
      <c r="F392" s="2"/>
      <c r="G392" s="2"/>
      <c r="H392" s="2"/>
    </row>
  </sheetData>
  <hyperlinks>
    <hyperlink ref="H42" r:id="rId1" display="https://owasp.org/Top10/A02_2021-Cryptographic_Failures/" xr:uid="{C6FB8C34-BD4C-47E8-814E-09F8D9458977}"/>
    <hyperlink ref="H41" r:id="rId2" display="https://owasp.org/Top10/A03_2021-Injection/" xr:uid="{1F0B0B83-3FF3-4BDD-B8F6-E08AA8778A04}"/>
    <hyperlink ref="H44" r:id="rId3" display="https://owasp.org/Top10/A04_2021-Insecure_Design/" xr:uid="{CDD1995F-CA4E-45C3-A09D-E88552DA0AC1}"/>
    <hyperlink ref="H45" r:id="rId4" display="https://owasp.org/Top10/A05_2021-Security_Misconfiguration/" xr:uid="{5EBFE74A-EBB3-4AE5-997B-34FF7453562F}"/>
    <hyperlink ref="H46" r:id="rId5" display="https://owasp.org/Top10/A06_2021-Vulnerable_and_Outdated_Components/" xr:uid="{AEC73050-32E8-4BEC-8332-9290D0C12E9F}"/>
    <hyperlink ref="H47" r:id="rId6" display="https://owasp.org/Top10/A07_2021-Identification_and_Authentication_Failures/" xr:uid="{284E6AEB-D5A7-4FF5-9C48-CA14B9849866}"/>
    <hyperlink ref="H48" r:id="rId7" display="https://owasp.org/Top10/A08_2021-Software_and_Data_Integrity_Failures/" xr:uid="{ADF5EF1A-ABA6-476C-8F0C-E12ABFC7FF55}"/>
    <hyperlink ref="H49" r:id="rId8" display="https://owasp.org/Top10/A09_2021-Security_Logging_and_Monitoring_Failures/" xr:uid="{31DC7327-8786-452E-AA59-AD74292FD3C8}"/>
    <hyperlink ref="H50" r:id="rId9" display="https://owasp.org/Top10/A10_2021-Server-Side_Request_Forgery_%28SSRF%29/" xr:uid="{8C13299A-ADEF-4A55-A230-317EA7DF45FC}"/>
  </hyperlinks>
  <pageMargins left="0.7" right="0.7" top="0.75" bottom="0.75" header="0.3" footer="0.3"/>
  <tableParts count="1">
    <tablePart r:id="rId10"/>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BE53A-7FE7-4DF3-8C1D-2B6952EC6191}">
  <dimension ref="A1:F20"/>
  <sheetViews>
    <sheetView topLeftCell="A2" workbookViewId="0">
      <selection activeCell="B35" sqref="B29:B35"/>
    </sheetView>
  </sheetViews>
  <sheetFormatPr defaultRowHeight="14.45"/>
  <sheetData>
    <row r="1" spans="1:6">
      <c r="A1" s="2"/>
      <c r="B1" s="2"/>
      <c r="D1" s="2"/>
    </row>
    <row r="2" spans="1:6">
      <c r="A2" s="2"/>
      <c r="B2" s="2"/>
      <c r="D2" s="2"/>
    </row>
    <row r="3" spans="1:6">
      <c r="A3" s="2"/>
      <c r="B3" s="2"/>
      <c r="D3" s="2"/>
    </row>
    <row r="4" spans="1:6">
      <c r="A4" s="2"/>
      <c r="B4" s="2"/>
      <c r="D4" s="2"/>
    </row>
    <row r="5" spans="1:6">
      <c r="A5" s="2"/>
      <c r="B5" s="2"/>
      <c r="D5" s="2"/>
    </row>
    <row r="6" spans="1:6">
      <c r="A6" s="2"/>
      <c r="B6" s="2"/>
      <c r="D6" s="2"/>
    </row>
    <row r="7" spans="1:6">
      <c r="A7" s="2"/>
      <c r="B7" s="2"/>
      <c r="D7" s="2"/>
    </row>
    <row r="8" spans="1:6">
      <c r="A8" s="2"/>
      <c r="B8" s="2"/>
      <c r="D8" s="2"/>
    </row>
    <row r="9" spans="1:6">
      <c r="A9" s="2"/>
      <c r="B9" s="2"/>
      <c r="D9" s="2"/>
    </row>
    <row r="10" spans="1:6">
      <c r="A10" s="2"/>
      <c r="B10" s="2"/>
      <c r="D10" s="2"/>
    </row>
    <row r="11" spans="1:6">
      <c r="A11" s="2"/>
      <c r="B11" s="2"/>
      <c r="D11" s="2"/>
    </row>
    <row r="12" spans="1:6">
      <c r="A12" s="2"/>
      <c r="B12" s="2"/>
      <c r="C12" s="3"/>
      <c r="D12" s="2"/>
    </row>
    <row r="13" spans="1:6">
      <c r="A13" s="4"/>
      <c r="B13" s="4"/>
      <c r="C13" s="5"/>
      <c r="D13" s="4"/>
      <c r="E13" s="6"/>
      <c r="F13" s="7"/>
    </row>
    <row r="14" spans="1:6">
      <c r="A14" s="8"/>
      <c r="B14" s="8"/>
      <c r="C14" s="9"/>
      <c r="D14" s="8"/>
      <c r="E14" s="10"/>
      <c r="F14" s="11"/>
    </row>
    <row r="15" spans="1:6">
      <c r="A15" s="4"/>
      <c r="B15" s="4"/>
      <c r="C15" s="5"/>
      <c r="D15" s="4"/>
      <c r="E15" s="6"/>
      <c r="F15" s="7"/>
    </row>
    <row r="16" spans="1:6">
      <c r="A16" s="8"/>
      <c r="B16" s="8"/>
      <c r="C16" s="9"/>
      <c r="D16" s="8"/>
      <c r="E16" s="10"/>
      <c r="F16" s="12"/>
    </row>
    <row r="17" spans="1:6">
      <c r="A17" s="4"/>
      <c r="B17" s="4"/>
      <c r="C17" s="5"/>
      <c r="D17" s="4"/>
      <c r="E17" s="6"/>
      <c r="F17" s="7"/>
    </row>
    <row r="18" spans="1:6">
      <c r="A18" s="8"/>
      <c r="B18" s="8"/>
      <c r="C18" s="9"/>
      <c r="D18" s="8"/>
      <c r="E18" s="10"/>
      <c r="F18" s="11"/>
    </row>
    <row r="19" spans="1:6">
      <c r="A19" s="4"/>
      <c r="B19" s="4"/>
      <c r="C19" s="5"/>
      <c r="D19" s="4"/>
      <c r="E19" s="6"/>
      <c r="F19" s="7"/>
    </row>
    <row r="20" spans="1:6">
      <c r="A20" s="11"/>
      <c r="B20" s="11"/>
      <c r="C20" s="11"/>
      <c r="D20" s="11"/>
      <c r="E20" s="11"/>
      <c r="F20" s="11"/>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F9C8F0-E0F7-4E18-BFD7-D4E68296863E}">
  <dimension ref="A1"/>
  <sheetViews>
    <sheetView workbookViewId="0">
      <selection activeCell="B25" sqref="B25"/>
    </sheetView>
  </sheetViews>
  <sheetFormatPr defaultRowHeight="14.45"/>
  <cols>
    <col min="1" max="1" width="135.85546875" customWidth="1"/>
  </cols>
  <sheetData>
    <row r="1" spans="1:1" ht="28.9">
      <c r="A1" s="1" t="s">
        <v>610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Krutadnyata Khandu Naik</dc:creator>
  <cp:keywords/>
  <dc:description/>
  <cp:lastModifiedBy/>
  <cp:revision/>
  <dcterms:created xsi:type="dcterms:W3CDTF">2024-11-14T14:16:54Z</dcterms:created>
  <dcterms:modified xsi:type="dcterms:W3CDTF">2024-11-27T16:01:04Z</dcterms:modified>
  <cp:category/>
  <cp:contentStatus/>
</cp:coreProperties>
</file>